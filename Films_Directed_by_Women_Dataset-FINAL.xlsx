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Edited Dataset" sheetId="1" r:id="rId4"/>
    <sheet state="visible" name="Linked Data" sheetId="2" r:id="rId5"/>
    <sheet state="visible" name="Sorted Data" sheetId="3" r:id="rId6"/>
    <sheet state="visible" name="RawData" sheetId="4" r:id="rId7"/>
  </sheets>
  <definedNames/>
  <calcPr/>
  <extLst>
    <ext uri="GoogleSheetsCustomDataVersion2">
      <go:sheetsCustomData xmlns:go="http://customooxmlschemas.google.com/" r:id="rId8" roundtripDataChecksum="X/TT7181UGhD77xgrHdsvPgKgJ0OfX3EEu1nFbh1oCk="/>
    </ext>
  </extLst>
</workbook>
</file>

<file path=xl/sharedStrings.xml><?xml version="1.0" encoding="utf-8"?>
<sst xmlns="http://schemas.openxmlformats.org/spreadsheetml/2006/main" count="6724" uniqueCount="3167">
  <si>
    <t>Title</t>
  </si>
  <si>
    <t>Alternate Titles</t>
  </si>
  <si>
    <t>Director</t>
  </si>
  <si>
    <t>Release Date</t>
  </si>
  <si>
    <t>Country</t>
  </si>
  <si>
    <t>Genre</t>
  </si>
  <si>
    <t>Subgenre and Keywords</t>
  </si>
  <si>
    <t>Format</t>
  </si>
  <si>
    <t>Production Company</t>
  </si>
  <si>
    <t>Budget (USD)</t>
  </si>
  <si>
    <t>Box Office Gross (USD)</t>
  </si>
  <si>
    <t>La fée aux choux</t>
  </si>
  <si>
    <t>Alice Guy-Blaché</t>
  </si>
  <si>
    <t>1896</t>
  </si>
  <si>
    <t>France</t>
  </si>
  <si>
    <t>Short</t>
  </si>
  <si>
    <t>Large Format</t>
  </si>
  <si>
    <t>Fantasy</t>
  </si>
  <si>
    <t>Silent</t>
  </si>
  <si>
    <t>Algie the Miner</t>
  </si>
  <si>
    <t>1912</t>
  </si>
  <si>
    <t>United States</t>
  </si>
  <si>
    <t>35mm</t>
  </si>
  <si>
    <t>Solax Film Company</t>
  </si>
  <si>
    <t>Western</t>
  </si>
  <si>
    <t>Comedy</t>
  </si>
  <si>
    <t>1.33:1</t>
  </si>
  <si>
    <t>The Merchant of Venice</t>
  </si>
  <si>
    <t>Lois Weber</t>
  </si>
  <si>
    <t>1914</t>
  </si>
  <si>
    <t>Drama</t>
  </si>
  <si>
    <t>Universal Film Manufacturing Company</t>
  </si>
  <si>
    <t>Phillips Smalley</t>
  </si>
  <si>
    <t>The Hypocrites</t>
  </si>
  <si>
    <t>1915</t>
  </si>
  <si>
    <t>Hobart Bosworth Productions</t>
  </si>
  <si>
    <t>The Devil's Prize</t>
  </si>
  <si>
    <t>Marguerite Bertsch</t>
  </si>
  <si>
    <t>1916</t>
  </si>
  <si>
    <t>Vitagraph Company of America</t>
  </si>
  <si>
    <t>Miss Peasant</t>
  </si>
  <si>
    <t>Olga Preobrazhenskaya</t>
  </si>
  <si>
    <t>Russia</t>
  </si>
  <si>
    <t>Romance</t>
  </si>
  <si>
    <t>Shoes</t>
  </si>
  <si>
    <t>'49–'17</t>
  </si>
  <si>
    <t>Ruth Ann Baldwin</t>
  </si>
  <si>
    <t>1917</t>
  </si>
  <si>
    <t>Even As You and I</t>
  </si>
  <si>
    <t>The Glory of Yolanda</t>
  </si>
  <si>
    <t>The Mysterious Mrs. M</t>
  </si>
  <si>
    <t>A Wife on Trial</t>
  </si>
  <si>
    <t>Universal Film Manufactuing Company</t>
  </si>
  <si>
    <t>Remodeling Her Husband</t>
  </si>
  <si>
    <t>Lillian Gish</t>
  </si>
  <si>
    <t>1920</t>
  </si>
  <si>
    <t>New Art Film Company</t>
  </si>
  <si>
    <t>D.W. Griffith</t>
  </si>
  <si>
    <t>To Please One Woman</t>
  </si>
  <si>
    <t>Lois Weber Productions</t>
  </si>
  <si>
    <t>The Blot</t>
  </si>
  <si>
    <t>1921</t>
  </si>
  <si>
    <t>Just Around the Corner</t>
  </si>
  <si>
    <t>Frances Marion</t>
  </si>
  <si>
    <t>Cosmopolitan Productions</t>
  </si>
  <si>
    <t>Melodrama</t>
  </si>
  <si>
    <t>The Love Light</t>
  </si>
  <si>
    <t>Mary Pickford Company</t>
  </si>
  <si>
    <t>Too Wise Wives</t>
  </si>
  <si>
    <t>What Do Men Want?</t>
  </si>
  <si>
    <t>What's Worth While?</t>
  </si>
  <si>
    <t>Famous Players-Lasky Corporation</t>
  </si>
  <si>
    <t>The Smiling Madame Beudet</t>
  </si>
  <si>
    <t>Germaine Dulac</t>
  </si>
  <si>
    <t>1922</t>
  </si>
  <si>
    <t>Colisée Films</t>
  </si>
  <si>
    <t>Salomé</t>
  </si>
  <si>
    <t>Alla Nazimova</t>
  </si>
  <si>
    <t>1923</t>
  </si>
  <si>
    <t>Biography</t>
  </si>
  <si>
    <t>Nazimova Productions</t>
  </si>
  <si>
    <t>Charles Bryant</t>
  </si>
  <si>
    <t>Horror</t>
  </si>
  <si>
    <t>History</t>
  </si>
  <si>
    <t>The Song of Love</t>
  </si>
  <si>
    <t>Norma Talmadge Film Coporation</t>
  </si>
  <si>
    <t>Chester M. Franklin</t>
  </si>
  <si>
    <t>The Adventures of Prince Achmed</t>
  </si>
  <si>
    <t>Lotte Reiniger</t>
  </si>
  <si>
    <t>1926</t>
  </si>
  <si>
    <t>Germany</t>
  </si>
  <si>
    <t>Adventure</t>
  </si>
  <si>
    <t>Comenius-Film GmbH</t>
  </si>
  <si>
    <t>Carl Koch</t>
  </si>
  <si>
    <t>Epic</t>
  </si>
  <si>
    <t>Animation</t>
  </si>
  <si>
    <t>Bulbul-e-Paristan</t>
  </si>
  <si>
    <t>Fatma Begum</t>
  </si>
  <si>
    <t>India</t>
  </si>
  <si>
    <t>Fatma Film</t>
  </si>
  <si>
    <t>The Marriage Clause</t>
  </si>
  <si>
    <t>Universal Pictures</t>
  </si>
  <si>
    <t>The Angel of Broadway</t>
  </si>
  <si>
    <t>1927</t>
  </si>
  <si>
    <t>DeMille Pictures Corporation</t>
  </si>
  <si>
    <t>The Fall of the Romanov Dynasty</t>
  </si>
  <si>
    <t>Esfir Shub</t>
  </si>
  <si>
    <t>Soviet Union</t>
  </si>
  <si>
    <t>Documentary</t>
  </si>
  <si>
    <t>Sovkino</t>
  </si>
  <si>
    <t>Fashions for Women</t>
  </si>
  <si>
    <t>Dorothy Arzner</t>
  </si>
  <si>
    <t>Paramount Pictures</t>
  </si>
  <si>
    <t>Get Your Man</t>
  </si>
  <si>
    <t>Sensation Seekers</t>
  </si>
  <si>
    <t>Ten Modern Commandments</t>
  </si>
  <si>
    <t>Women of Ryazan</t>
  </si>
  <si>
    <t>Chandravali</t>
  </si>
  <si>
    <t>1928</t>
  </si>
  <si>
    <t>Victora Fatma Film Company</t>
  </si>
  <si>
    <t>Heer Ranjha</t>
  </si>
  <si>
    <t>Manhattan Cocktail</t>
  </si>
  <si>
    <t>Paramount Famous Lasky Corporation</t>
  </si>
  <si>
    <t>The Seashell and the Clergyman</t>
  </si>
  <si>
    <t>Délia Film</t>
  </si>
  <si>
    <t>The Wild Party</t>
  </si>
  <si>
    <t>1929</t>
  </si>
  <si>
    <t>Anybody's Woman</t>
  </si>
  <si>
    <t>1930</t>
  </si>
  <si>
    <t>Sarah and Son</t>
  </si>
  <si>
    <t>1.20:1</t>
  </si>
  <si>
    <t>Mädchen in Uniform</t>
  </si>
  <si>
    <t>Leontine Sagan</t>
  </si>
  <si>
    <t>1931</t>
  </si>
  <si>
    <t>Deutsche Film-Gemeinschaft</t>
  </si>
  <si>
    <t>Carl Froelich</t>
  </si>
  <si>
    <t>Honor Among Lovers</t>
  </si>
  <si>
    <t>Working Girls</t>
  </si>
  <si>
    <t>The Blue Light</t>
  </si>
  <si>
    <t>Leni Riefenstahl</t>
  </si>
  <si>
    <t>1932</t>
  </si>
  <si>
    <t>Leni Riefenstahl-Produktion</t>
  </si>
  <si>
    <t>Béla Balázs</t>
  </si>
  <si>
    <t>1.37:1</t>
  </si>
  <si>
    <t>Mystery</t>
  </si>
  <si>
    <t>Merrily We Go to Hell</t>
  </si>
  <si>
    <t>Christopher Strong</t>
  </si>
  <si>
    <t>1933</t>
  </si>
  <si>
    <t>Action</t>
  </si>
  <si>
    <t>RKO Radio Pictures</t>
  </si>
  <si>
    <t>Nana</t>
  </si>
  <si>
    <t>1934</t>
  </si>
  <si>
    <t>The Samuel Goldwyn Company</t>
  </si>
  <si>
    <t>George Fitzmaurice</t>
  </si>
  <si>
    <t>Triumph of the Will</t>
  </si>
  <si>
    <t>1935</t>
  </si>
  <si>
    <t>Reichspropagandaleitung der NSDAP</t>
  </si>
  <si>
    <t>Craig's Wife</t>
  </si>
  <si>
    <t>1936</t>
  </si>
  <si>
    <t>Columbia Pictures</t>
  </si>
  <si>
    <t>Onnenpotku</t>
  </si>
  <si>
    <t>Glory Leppänen</t>
  </si>
  <si>
    <t>Finland</t>
  </si>
  <si>
    <t>Suomen Filmiteollisuus</t>
  </si>
  <si>
    <t>The Bride Wore Red</t>
  </si>
  <si>
    <t>1937</t>
  </si>
  <si>
    <t>MGM</t>
  </si>
  <si>
    <t>Olympia</t>
  </si>
  <si>
    <t>1938</t>
  </si>
  <si>
    <t>Olympia Film GmbH</t>
  </si>
  <si>
    <t>Sport</t>
  </si>
  <si>
    <t>International Olympic Committee</t>
  </si>
  <si>
    <t>Tobis Filmkunst</t>
  </si>
  <si>
    <t>Dance, Girl, Dance</t>
  </si>
  <si>
    <t>1940</t>
  </si>
  <si>
    <t>Roy del Ruth</t>
  </si>
  <si>
    <t>Musical</t>
  </si>
  <si>
    <t>Derailed</t>
  </si>
  <si>
    <t>Afsporet</t>
  </si>
  <si>
    <t>Bodil Ipsen</t>
  </si>
  <si>
    <t>1942</t>
  </si>
  <si>
    <t>Denmark</t>
  </si>
  <si>
    <t>Crime</t>
  </si>
  <si>
    <t>ASA Film</t>
  </si>
  <si>
    <t>Lau Lauritzen</t>
  </si>
  <si>
    <t>Film noir</t>
  </si>
  <si>
    <t>Meshes of the Afternoon</t>
  </si>
  <si>
    <t>Maya Deren</t>
  </si>
  <si>
    <t>1943</t>
  </si>
  <si>
    <t>Mono</t>
  </si>
  <si>
    <t>Experimental</t>
  </si>
  <si>
    <t>First Comes Courage</t>
  </si>
  <si>
    <t>War</t>
  </si>
  <si>
    <t>At Land</t>
  </si>
  <si>
    <t>1944</t>
  </si>
  <si>
    <t>Melody of Murder</t>
  </si>
  <si>
    <t>Mordets Melodi</t>
  </si>
  <si>
    <t>Whodunnit</t>
  </si>
  <si>
    <t>Nordisk Film</t>
  </si>
  <si>
    <t>Woman is the Wild Card</t>
  </si>
  <si>
    <t>Ansa Ikonen</t>
  </si>
  <si>
    <t>Três Dias Sem Deus</t>
  </si>
  <si>
    <t>Three Days Without God</t>
  </si>
  <si>
    <t>Bárbara Virgínia</t>
  </si>
  <si>
    <t>1945</t>
  </si>
  <si>
    <t>Portugal</t>
  </si>
  <si>
    <t>Invicta Films</t>
  </si>
  <si>
    <t>Ritual in Transfigured Time</t>
  </si>
  <si>
    <t>1946</t>
  </si>
  <si>
    <t>Wedding Night</t>
  </si>
  <si>
    <t>Bröllopsnatten</t>
  </si>
  <si>
    <t>1947</t>
  </si>
  <si>
    <t>Europa Film</t>
  </si>
  <si>
    <t>Gigi</t>
  </si>
  <si>
    <t>Jacqueline Audry</t>
  </si>
  <si>
    <t>1949</t>
  </si>
  <si>
    <t>Codo Cinéma</t>
  </si>
  <si>
    <t>The Lost People</t>
  </si>
  <si>
    <t>Muriel Box</t>
  </si>
  <si>
    <t>United Kingdom</t>
  </si>
  <si>
    <t>Gainsbourough Pictures</t>
  </si>
  <si>
    <t>Not Wanted</t>
  </si>
  <si>
    <t>Ida Lupino</t>
  </si>
  <si>
    <t>Emerald Productions Inc.</t>
  </si>
  <si>
    <t>Elmer Clifton</t>
  </si>
  <si>
    <t>Never Fear</t>
  </si>
  <si>
    <t>The Filmakers</t>
  </si>
  <si>
    <t>Outrage</t>
  </si>
  <si>
    <t>1950</t>
  </si>
  <si>
    <t>Hard, Fast and Beautiful</t>
  </si>
  <si>
    <t>1951</t>
  </si>
  <si>
    <t>Olivia</t>
  </si>
  <si>
    <t>Filmsonor</t>
  </si>
  <si>
    <t>Centre national du cinéma et de l'image animée (CNC)</t>
  </si>
  <si>
    <t>The Happy Family</t>
  </si>
  <si>
    <t>1952</t>
  </si>
  <si>
    <t>London Independent Producers</t>
  </si>
  <si>
    <t>The Bigamist</t>
  </si>
  <si>
    <t>1953</t>
  </si>
  <si>
    <t>The Hitch-Hiker</t>
  </si>
  <si>
    <t>Thriller</t>
  </si>
  <si>
    <t>Street Corner</t>
  </si>
  <si>
    <t>J. Arthur Rank Organisation</t>
  </si>
  <si>
    <t>Animal Farm</t>
  </si>
  <si>
    <t>Joy Batchelor</t>
  </si>
  <si>
    <t>1954</t>
  </si>
  <si>
    <t>Political Drama</t>
  </si>
  <si>
    <t>Halas &amp; Batchelor</t>
  </si>
  <si>
    <t>John Halas</t>
  </si>
  <si>
    <t>CIA</t>
  </si>
  <si>
    <t>The Eternal Breasts</t>
  </si>
  <si>
    <t>Forever a Woman</t>
  </si>
  <si>
    <t>Kinuyo Tanaka</t>
  </si>
  <si>
    <t>1955</t>
  </si>
  <si>
    <t>Japan</t>
  </si>
  <si>
    <t>Nikkatsu</t>
  </si>
  <si>
    <t>La Pointe Courte</t>
  </si>
  <si>
    <t>Agnès Varda</t>
  </si>
  <si>
    <t>Ciné-tamaris</t>
  </si>
  <si>
    <t>MK2 Films</t>
  </si>
  <si>
    <t>Life Flows Quietly By...</t>
  </si>
  <si>
    <t>Binka Zhelyazkova</t>
  </si>
  <si>
    <t>1957</t>
  </si>
  <si>
    <t>Bulgaria</t>
  </si>
  <si>
    <t>Boyana Film</t>
  </si>
  <si>
    <t>Hristo Ganev</t>
  </si>
  <si>
    <t>Bridges-Go-Round</t>
  </si>
  <si>
    <t>Shirley Clarke</t>
  </si>
  <si>
    <t>1959</t>
  </si>
  <si>
    <t>Color</t>
  </si>
  <si>
    <t>Cléo from 5 to 7</t>
  </si>
  <si>
    <t>Cléo de 5 à 7</t>
  </si>
  <si>
    <t>1961</t>
  </si>
  <si>
    <t>BW</t>
  </si>
  <si>
    <t>Italy</t>
  </si>
  <si>
    <t>Rome Paris Films</t>
  </si>
  <si>
    <t>1.66:1</t>
  </si>
  <si>
    <t>The Connection</t>
  </si>
  <si>
    <t>The Connection Company</t>
  </si>
  <si>
    <t>Allen-Hodgdon Productions</t>
  </si>
  <si>
    <t>The Golden Calf</t>
  </si>
  <si>
    <t>Ritva Arvelo</t>
  </si>
  <si>
    <t>Fennada-Filmi</t>
  </si>
  <si>
    <t>Les Petits Matins</t>
  </si>
  <si>
    <t>Hitch-Hike</t>
  </si>
  <si>
    <t>1962</t>
  </si>
  <si>
    <t>Paris Elysées Films</t>
  </si>
  <si>
    <t>Les Films Metzger</t>
  </si>
  <si>
    <t>Woog</t>
  </si>
  <si>
    <t>El Camino</t>
  </si>
  <si>
    <t>Ana Mariscal</t>
  </si>
  <si>
    <t>1963</t>
  </si>
  <si>
    <t>Spain</t>
  </si>
  <si>
    <t>The House is Black</t>
  </si>
  <si>
    <t>Forough Farrokhzad</t>
  </si>
  <si>
    <t>Iran</t>
  </si>
  <si>
    <t>Studio Golestan</t>
  </si>
  <si>
    <t>The Lizards</t>
  </si>
  <si>
    <t>The Basilisks</t>
  </si>
  <si>
    <t>Lina Wertmüller</t>
  </si>
  <si>
    <t>Galatea Film</t>
  </si>
  <si>
    <t>22 Dicembre</t>
  </si>
  <si>
    <t>1.85:1</t>
  </si>
  <si>
    <t>The Cool World</t>
  </si>
  <si>
    <t>1964</t>
  </si>
  <si>
    <t>Wiseman Film Productions</t>
  </si>
  <si>
    <t>Älskande par</t>
  </si>
  <si>
    <t>Loving Couples</t>
  </si>
  <si>
    <t>Mai Zetterling</t>
  </si>
  <si>
    <t>Sweden</t>
  </si>
  <si>
    <t>Sandrews</t>
  </si>
  <si>
    <t>Le Bonheur</t>
  </si>
  <si>
    <t>Agnes Varda</t>
  </si>
  <si>
    <t>1965</t>
  </si>
  <si>
    <t>MK2Films</t>
  </si>
  <si>
    <t>Parc Film</t>
  </si>
  <si>
    <t>The East is Red</t>
  </si>
  <si>
    <t>Wang Ping</t>
  </si>
  <si>
    <t>China</t>
  </si>
  <si>
    <t>August 1st Film Studio</t>
  </si>
  <si>
    <t>2.35:1</t>
  </si>
  <si>
    <t>Central Newsreel and Documentary Film Studio</t>
  </si>
  <si>
    <t>Cinemascope</t>
  </si>
  <si>
    <t>Blood Bath</t>
  </si>
  <si>
    <t>Stephanie Rothman</t>
  </si>
  <si>
    <t>1966</t>
  </si>
  <si>
    <t>Avala Film</t>
  </si>
  <si>
    <t>Jack Hill</t>
  </si>
  <si>
    <t>Yugoslavia</t>
  </si>
  <si>
    <t>Jack Hill Productions</t>
  </si>
  <si>
    <t>Daisies</t>
  </si>
  <si>
    <t>Sedmikrasky</t>
  </si>
  <si>
    <t>Věra Chytilová</t>
  </si>
  <si>
    <t>Czechoslovakia</t>
  </si>
  <si>
    <t>Filmové studio Barrandov</t>
  </si>
  <si>
    <t>Night Games</t>
  </si>
  <si>
    <t>Nattlek</t>
  </si>
  <si>
    <t>Sandew FIlm &amp; Teater</t>
  </si>
  <si>
    <t>Rita the Mosquito</t>
  </si>
  <si>
    <t>Mondial Televisione Film</t>
  </si>
  <si>
    <t>Wings</t>
  </si>
  <si>
    <t>Larissa Shepitko</t>
  </si>
  <si>
    <t>Mosfilm</t>
  </si>
  <si>
    <t>Brief Encounters</t>
  </si>
  <si>
    <t>Kira Muratova</t>
  </si>
  <si>
    <t>1967</t>
  </si>
  <si>
    <t>Odesskaya Kinostudiya</t>
  </si>
  <si>
    <t>Don't Sting the Mosquito</t>
  </si>
  <si>
    <t>Portrait of Jason</t>
  </si>
  <si>
    <t>Graeme Ferguson Productions</t>
  </si>
  <si>
    <t>Shirley Clarke Productions</t>
  </si>
  <si>
    <t>Doctor Glas</t>
  </si>
  <si>
    <t>1968</t>
  </si>
  <si>
    <t>Laterna Film</t>
  </si>
  <si>
    <t>The Girls</t>
  </si>
  <si>
    <t>Flickorna</t>
  </si>
  <si>
    <t>Rat Life and Diet in North America</t>
  </si>
  <si>
    <t>Joyce Wieland</t>
  </si>
  <si>
    <t>Canada</t>
  </si>
  <si>
    <t>A Very Curious Girl</t>
  </si>
  <si>
    <t>La Fiancée du Pirate</t>
  </si>
  <si>
    <t>Nelly Kaplan</t>
  </si>
  <si>
    <t>1969</t>
  </si>
  <si>
    <t>Cythère Films</t>
  </si>
  <si>
    <t>Paris Film</t>
  </si>
  <si>
    <t>The Year of the Cannibals</t>
  </si>
  <si>
    <t>Liliana Cavani</t>
  </si>
  <si>
    <t>Doria</t>
  </si>
  <si>
    <t>San Marco</t>
  </si>
  <si>
    <t>Wanda</t>
  </si>
  <si>
    <t>Barbara Loden</t>
  </si>
  <si>
    <t>1970</t>
  </si>
  <si>
    <t>Foundation for Filmmakers</t>
  </si>
  <si>
    <t>Bury Me an Angel</t>
  </si>
  <si>
    <t>Barbara Peeters</t>
  </si>
  <si>
    <t>1971</t>
  </si>
  <si>
    <t>Biker</t>
  </si>
  <si>
    <t>Meier-Murray Productions</t>
  </si>
  <si>
    <t>Revenge</t>
  </si>
  <si>
    <t>New World Pictures</t>
  </si>
  <si>
    <t>The Long Farewell</t>
  </si>
  <si>
    <t>A New Leaf</t>
  </si>
  <si>
    <t>Elaine May</t>
  </si>
  <si>
    <t>Aries Productions</t>
  </si>
  <si>
    <t>Elkins Entertainment</t>
  </si>
  <si>
    <t>Elkins Productions International Corporation</t>
  </si>
  <si>
    <t>The Heartbreak Kid</t>
  </si>
  <si>
    <t>1972</t>
  </si>
  <si>
    <t>Palomar Pictures International</t>
  </si>
  <si>
    <t>The Other Side of the Underneath</t>
  </si>
  <si>
    <t>Jane Arden</t>
  </si>
  <si>
    <t>Bond</t>
  </si>
  <si>
    <t>Sambizanga</t>
  </si>
  <si>
    <t>Sarah Maldoror</t>
  </si>
  <si>
    <t>Angola</t>
  </si>
  <si>
    <t>Isabelle Films</t>
  </si>
  <si>
    <t>The Seduction of Mimi</t>
  </si>
  <si>
    <t>Milarepa</t>
  </si>
  <si>
    <t>1973</t>
  </si>
  <si>
    <t>Lotar</t>
  </si>
  <si>
    <t>RAI Radiotelevisione Italiana</t>
  </si>
  <si>
    <t>id</t>
  </si>
  <si>
    <t>An Argentine Romance</t>
  </si>
  <si>
    <t>Angélica Jovita García</t>
  </si>
  <si>
    <t>Argentina</t>
  </si>
  <si>
    <t>Sempre Avanti, Savoia!</t>
  </si>
  <si>
    <t>Elvira Notari</t>
  </si>
  <si>
    <t>Film Dora</t>
  </si>
  <si>
    <t>Flor de España o la Leyenda de un Torero</t>
  </si>
  <si>
    <t>Helena Cortesina</t>
  </si>
  <si>
    <t>Cortesina Films</t>
  </si>
  <si>
    <t>The Good-Bad Wife</t>
  </si>
  <si>
    <t>Vera McCord</t>
  </si>
  <si>
    <t>Vera McCord Productions</t>
  </si>
  <si>
    <t>An Orphan's Cry</t>
  </si>
  <si>
    <t>孤雏悲声</t>
  </si>
  <si>
    <t>Xie Caizhen</t>
  </si>
  <si>
    <t>1925</t>
  </si>
  <si>
    <t>Goddess of Love</t>
  </si>
  <si>
    <t>The Mystery of the Black Domino</t>
  </si>
  <si>
    <t>Cléo de Verberena</t>
  </si>
  <si>
    <t>Brazil</t>
  </si>
  <si>
    <t>Robin Hood</t>
  </si>
  <si>
    <t>Animated</t>
  </si>
  <si>
    <t>New Clothing</t>
  </si>
  <si>
    <t>Tazuko Sakane</t>
  </si>
  <si>
    <t>Possession</t>
  </si>
  <si>
    <t>Besættelse</t>
  </si>
  <si>
    <t>Fedakar Ana</t>
  </si>
  <si>
    <t>Cahide Sonku</t>
  </si>
  <si>
    <t>Turkey</t>
  </si>
  <si>
    <t>Günes Film</t>
  </si>
  <si>
    <t>Les Films du Jeudi</t>
  </si>
  <si>
    <t>Streetwalker</t>
  </si>
  <si>
    <t>Matilde Landeta</t>
  </si>
  <si>
    <t>Mexico</t>
  </si>
  <si>
    <t>Técnicos y Actores Cinematográficos Mexicanos Asociados (TACMA)</t>
  </si>
  <si>
    <t>Let's Talk About Shafei</t>
  </si>
  <si>
    <t>Questa Volta Parliamo di Uomini</t>
  </si>
  <si>
    <t>The Belle Starr Story</t>
  </si>
  <si>
    <t>Spaghetti Western</t>
  </si>
  <si>
    <t>Eureka Films</t>
  </si>
  <si>
    <t>Piero Cristofani</t>
  </si>
  <si>
    <t>Mercurfilm</t>
  </si>
  <si>
    <t>United Productions International</t>
  </si>
  <si>
    <t>The Dark Side of Tomorrow</t>
  </si>
  <si>
    <t>LGBTQ</t>
  </si>
  <si>
    <t>David Novak Pictures</t>
  </si>
  <si>
    <t>Jack Deerson</t>
  </si>
  <si>
    <t>For Women: Chapter 1</t>
  </si>
  <si>
    <t>Für Frauen: 1. Kapitel</t>
  </si>
  <si>
    <t>Cristina Perincioli</t>
  </si>
  <si>
    <t>The Guest</t>
  </si>
  <si>
    <t>Lotar Film Productions</t>
  </si>
  <si>
    <t>The Woman's Film</t>
  </si>
  <si>
    <t>Louise Alaimo</t>
  </si>
  <si>
    <t>San Francisco Newsreel Film Collective</t>
  </si>
  <si>
    <t>Judy Smith</t>
  </si>
  <si>
    <t>Es kommt darauf an, sie zu verändern</t>
  </si>
  <si>
    <t>Claudia von Alemann</t>
  </si>
  <si>
    <t>Alemann Filmproduktion</t>
  </si>
  <si>
    <t>The Hour of Liberation Has Arrived</t>
  </si>
  <si>
    <t>Heiny Srour</t>
  </si>
  <si>
    <t>1974</t>
  </si>
  <si>
    <t>I, You, He, She (Je Tu Il Elle)</t>
  </si>
  <si>
    <t>Chantal Akerman</t>
  </si>
  <si>
    <t>The Night Porter (Il Portiere di Notte)</t>
  </si>
  <si>
    <t>Summer School Teachers</t>
  </si>
  <si>
    <t>Anna und Edith</t>
  </si>
  <si>
    <t>Gerrit Neuhaus</t>
  </si>
  <si>
    <t>1975</t>
  </si>
  <si>
    <t>Catherine &amp; Co.</t>
  </si>
  <si>
    <t>Catherine Breillat</t>
  </si>
  <si>
    <t>Hester Street</t>
  </si>
  <si>
    <t>Joan Micklin Silver</t>
  </si>
  <si>
    <t>Letter from My Village (Kaddy Bekat – Lettre Paysanne)</t>
  </si>
  <si>
    <t>Safi Faye</t>
  </si>
  <si>
    <t>The Lost Honor of Katharina Blum (Die Verlorene Ehre der Katharina Blum oder: Wie Gewalt entstehen und wohin sie führen kann)</t>
  </si>
  <si>
    <t>Margarethe von Trotta</t>
  </si>
  <si>
    <t>Volker Schlöndorff</t>
  </si>
  <si>
    <t>The Other Half of the Sky: A China Memoir</t>
  </si>
  <si>
    <t>Shirley MacLaine</t>
  </si>
  <si>
    <t>Claudia Weill</t>
  </si>
  <si>
    <t>Seven Beauties (Pasqualino settebellezze)</t>
  </si>
  <si>
    <t>Harlan County, USA</t>
  </si>
  <si>
    <t>Barbara Kopple</t>
  </si>
  <si>
    <t>1976</t>
  </si>
  <si>
    <t>Jeanne Dielman</t>
  </si>
  <si>
    <t>Mikey and Nicky</t>
  </si>
  <si>
    <t>Not a Pretty Picture</t>
  </si>
  <si>
    <t>Martha Coolidge</t>
  </si>
  <si>
    <t>A Real Young Girl</t>
  </si>
  <si>
    <t>The Ascent</t>
  </si>
  <si>
    <t>1977</t>
  </si>
  <si>
    <t>Beyond Good and Evil</t>
  </si>
  <si>
    <t>First Love</t>
  </si>
  <si>
    <t>Joan Darling</t>
  </si>
  <si>
    <t>News from Home</t>
  </si>
  <si>
    <t>One Sings, the Other Doesn't</t>
  </si>
  <si>
    <t>Les Rendez-vous d'Anna</t>
  </si>
  <si>
    <t>Starhops</t>
  </si>
  <si>
    <t>But what do they want, after all? (Mais qu'est ce qu'elles veulent?)</t>
  </si>
  <si>
    <t>Coline Serreau</t>
  </si>
  <si>
    <t>1978</t>
  </si>
  <si>
    <t>The All-Around Reduced Personality – Outtakes [de] (Die allseitig reduzierte Persönlichkeit – Redupers)</t>
  </si>
  <si>
    <t>Helke Sander</t>
  </si>
  <si>
    <t>Getting to Know the Big, Wide World</t>
  </si>
  <si>
    <t>Girlfriends</t>
  </si>
  <si>
    <t>The Mafu Cage</t>
  </si>
  <si>
    <t>Karen Arthur</t>
  </si>
  <si>
    <t>The Power of Men is the Patience of Women [de] (Die Macht der Männer ist die Geduld der Frauen)</t>
  </si>
  <si>
    <t>Rabbit Test</t>
  </si>
  <si>
    <t>Joan Rivers</t>
  </si>
  <si>
    <t>Anti-Clock</t>
  </si>
  <si>
    <t>1979</t>
  </si>
  <si>
    <t>Daughter Rite</t>
  </si>
  <si>
    <t>Michelle Citron</t>
  </si>
  <si>
    <t>Germany Pale Mother (Deutschland bleiche Mutter)</t>
  </si>
  <si>
    <t>Helma Sanders-Brahms</t>
  </si>
  <si>
    <t>Provincial Actors (Aktorzy prowincjonalni)</t>
  </si>
  <si>
    <t>Agnieszka Holland</t>
  </si>
  <si>
    <t>My Brilliant Career</t>
  </si>
  <si>
    <t>Gillian Armstrong</t>
  </si>
  <si>
    <t>Ticket of No Return (Bildnis einer Trinkerin)</t>
  </si>
  <si>
    <t>Ulrike Ottinger</t>
  </si>
  <si>
    <t>Can't Stop the Music</t>
  </si>
  <si>
    <t>Nancy Walker</t>
  </si>
  <si>
    <t>1980</t>
  </si>
  <si>
    <t>Fatso</t>
  </si>
  <si>
    <t>Anne Bancroft</t>
  </si>
  <si>
    <t>The Godsend</t>
  </si>
  <si>
    <t>Gabrielle Beaumont</t>
  </si>
  <si>
    <t>Humanoids from the Deep</t>
  </si>
  <si>
    <t>It's My Turn</t>
  </si>
  <si>
    <t>The Life and Times of Rosie the Riveter</t>
  </si>
  <si>
    <t>Connie Field</t>
  </si>
  <si>
    <t>Sparsh</t>
  </si>
  <si>
    <t>Sai Paranjpye</t>
  </si>
  <si>
    <t>36 Chowringhee Lane</t>
  </si>
  <si>
    <t>Aparna Sen</t>
  </si>
  <si>
    <t>1981</t>
  </si>
  <si>
    <t>Death of a Centerfold</t>
  </si>
  <si>
    <t>The Decline of Western Civilization</t>
  </si>
  <si>
    <t>Penelope Spheeris</t>
  </si>
  <si>
    <t>Eight Minutes to Midnight: A Portrait of Dr. Helen Caldicott</t>
  </si>
  <si>
    <t>Mary Benjamin</t>
  </si>
  <si>
    <t>Fever (Gorączka)</t>
  </si>
  <si>
    <t>The German Sisters</t>
  </si>
  <si>
    <t>A Lonely Woman (Kobieta samotna)</t>
  </si>
  <si>
    <t>The Skin (La Pelle)</t>
  </si>
  <si>
    <t>All Night Long (Toute une nuit)</t>
  </si>
  <si>
    <t>1982</t>
  </si>
  <si>
    <t>Beyond the Door (Oltre la Porta)</t>
  </si>
  <si>
    <t>Fast Times at Ridgemont High</t>
  </si>
  <si>
    <t>Amy Heckerling</t>
  </si>
  <si>
    <t>Grease 2</t>
  </si>
  <si>
    <t>Patricia Birch</t>
  </si>
  <si>
    <t>Starstruck</t>
  </si>
  <si>
    <t>Among Grey Stones</t>
  </si>
  <si>
    <t>1983</t>
  </si>
  <si>
    <t>Born in Flames</t>
  </si>
  <si>
    <t>Lizzie Borden</t>
  </si>
  <si>
    <t>The Gold Diggers</t>
  </si>
  <si>
    <t>Sally Potter</t>
  </si>
  <si>
    <t>Valley Girl</t>
  </si>
  <si>
    <t>Variety</t>
  </si>
  <si>
    <t>Bette Gordon</t>
  </si>
  <si>
    <t>Yentl</t>
  </si>
  <si>
    <t>Barbra Streisand</t>
  </si>
  <si>
    <t>Joy of Sex</t>
  </si>
  <si>
    <t>1984</t>
  </si>
  <si>
    <t>Mrs. Soffel</t>
  </si>
  <si>
    <t>Angry Harvest (Bittere Ernte)</t>
  </si>
  <si>
    <t>1985</t>
  </si>
  <si>
    <t>The Berlin Affair</t>
  </si>
  <si>
    <t>Desert Hearts</t>
  </si>
  <si>
    <t>Donna Deitch</t>
  </si>
  <si>
    <t>Desperately Seeking Susan</t>
  </si>
  <si>
    <t>Susan Seidelman</t>
  </si>
  <si>
    <t>Real Genius</t>
  </si>
  <si>
    <t>Seduction: The Cruel Woman (Verführung: die grausame Frau)</t>
  </si>
  <si>
    <t>Elfi Mikesch</t>
  </si>
  <si>
    <t>Monika Treut</t>
  </si>
  <si>
    <t>Smooth Talk</t>
  </si>
  <si>
    <t>Joyce Chopra</t>
  </si>
  <si>
    <t>Vagabond</t>
  </si>
  <si>
    <t>Children of a Lesser God</t>
  </si>
  <si>
    <t>Randa Haines</t>
  </si>
  <si>
    <t>1986</t>
  </si>
  <si>
    <t>Golden Eighties</t>
  </si>
  <si>
    <t>Jumpin' Jack Flash (film)</t>
  </si>
  <si>
    <t>Penny Marshall</t>
  </si>
  <si>
    <t>He's My Girl</t>
  </si>
  <si>
    <t>1987</t>
  </si>
  <si>
    <t>High Tide</t>
  </si>
  <si>
    <t>Ishtar</t>
  </si>
  <si>
    <t>Near Dark</t>
  </si>
  <si>
    <t>Kathryn Bigelow</t>
  </si>
  <si>
    <t>36 Fillette</t>
  </si>
  <si>
    <t>1988</t>
  </si>
  <si>
    <t>Agnes Escapes from the Nursing Home</t>
  </si>
  <si>
    <t>Eileen O'Meara</t>
  </si>
  <si>
    <t>Big</t>
  </si>
  <si>
    <t>Chocolat</t>
  </si>
  <si>
    <t>Claire Denis</t>
  </si>
  <si>
    <t>Kalih Films (Kali-Filme)</t>
  </si>
  <si>
    <t>Birgit Hein</t>
  </si>
  <si>
    <t>Wilhelm Hein</t>
  </si>
  <si>
    <t>Little Dorrit</t>
  </si>
  <si>
    <t>Christine Edzard</t>
  </si>
  <si>
    <t>Love, Women, and Flowers (Amor, Mujeres, y Flores)</t>
  </si>
  <si>
    <t>Marta Rodriguez</t>
  </si>
  <si>
    <t>Jorge Silva</t>
  </si>
  <si>
    <t>Plain Clothes</t>
  </si>
  <si>
    <t>Salaam Bombay!</t>
  </si>
  <si>
    <t>Mira Nair</t>
  </si>
  <si>
    <t>To Kill a Priest</t>
  </si>
  <si>
    <t>Virgin Machine (Die Jungfrauenmaschine)</t>
  </si>
  <si>
    <t>American Stories: Food, Family and Philosophy (Histoires d'Amérique)</t>
  </si>
  <si>
    <t>1989</t>
  </si>
  <si>
    <t>The Asthenic Syndrome</t>
  </si>
  <si>
    <t>A Dry White Season</t>
  </si>
  <si>
    <t>Euzhan Palcy</t>
  </si>
  <si>
    <t>Francesco</t>
  </si>
  <si>
    <t>Pet Sematary</t>
  </si>
  <si>
    <t>Mary Lambert</t>
  </si>
  <si>
    <t>Sweetie</t>
  </si>
  <si>
    <t>Jane Campion</t>
  </si>
  <si>
    <t>An Angel at My Table</t>
  </si>
  <si>
    <t>1990</t>
  </si>
  <si>
    <t>Europa, Europa</t>
  </si>
  <si>
    <t>The Lemon Sisters</t>
  </si>
  <si>
    <t>No Fear, No Die</t>
  </si>
  <si>
    <t>Paris is Burning</t>
  </si>
  <si>
    <t>Jennie Livingston</t>
  </si>
  <si>
    <t>American Dream</t>
  </si>
  <si>
    <t>1991</t>
  </si>
  <si>
    <t>Danzón</t>
  </si>
  <si>
    <t>Maria Novaro</t>
  </si>
  <si>
    <t>Daughters of the Dust</t>
  </si>
  <si>
    <t>Julie Dash</t>
  </si>
  <si>
    <t>Fires Within</t>
  </si>
  <si>
    <t>Night and Day (Nuit et Jour)</t>
  </si>
  <si>
    <t>A Place of Rage</t>
  </si>
  <si>
    <t>Pratibha Parmar</t>
  </si>
  <si>
    <t>Point Break</t>
  </si>
  <si>
    <t>The Prince of Tides</t>
  </si>
  <si>
    <t>Proof</t>
  </si>
  <si>
    <t>Jocelyn Moorhouse</t>
  </si>
  <si>
    <t>Rambling Rose</t>
  </si>
  <si>
    <t>Thousand Pieces of Gold</t>
  </si>
  <si>
    <t>Nancy Kelly</t>
  </si>
  <si>
    <t>Gas Food Lodging</t>
  </si>
  <si>
    <t>Allison Anders</t>
  </si>
  <si>
    <t>1992</t>
  </si>
  <si>
    <t>History and Memory: For Akiko and Takashige</t>
  </si>
  <si>
    <t>Rea Tajiri</t>
  </si>
  <si>
    <t>The Last Days of Chez Nous</t>
  </si>
  <si>
    <t>A League of Their Own</t>
  </si>
  <si>
    <t>Little Noises</t>
  </si>
  <si>
    <t>Jane Spencer</t>
  </si>
  <si>
    <t>Olivier, Olivier</t>
  </si>
  <si>
    <t>Orlando</t>
  </si>
  <si>
    <t>Seeing Red</t>
  </si>
  <si>
    <t>Virginia Rouse</t>
  </si>
  <si>
    <t>Wayne's World</t>
  </si>
  <si>
    <t>Bhaji on the Beach</t>
  </si>
  <si>
    <t>Gurinder Chadha</t>
  </si>
  <si>
    <t>1993</t>
  </si>
  <si>
    <t>Lost in Yonkers</t>
  </si>
  <si>
    <t>The Secret Garden</t>
  </si>
  <si>
    <t>Sleepless in Seattle</t>
  </si>
  <si>
    <t>Nora Ephron</t>
  </si>
  <si>
    <t>Where Are You? I'm Here (Dove Siete? Io Sono Qui)</t>
  </si>
  <si>
    <t>Angie</t>
  </si>
  <si>
    <t>1994</t>
  </si>
  <si>
    <t>Black Beauty</t>
  </si>
  <si>
    <t>Caroline Thompson</t>
  </si>
  <si>
    <t>Complaints of a Dutiful Daughter</t>
  </si>
  <si>
    <t>Deborah Hoffmann</t>
  </si>
  <si>
    <t>I Can't Sleep</t>
  </si>
  <si>
    <t>Little Women</t>
  </si>
  <si>
    <t>Mi Vida Loca</t>
  </si>
  <si>
    <t>The Piano</t>
  </si>
  <si>
    <t>River of Grass</t>
  </si>
  <si>
    <t>Kelly Reichardt</t>
  </si>
  <si>
    <t>Antonia's Line</t>
  </si>
  <si>
    <t>Marleen Gorris</t>
  </si>
  <si>
    <t>1995</t>
  </si>
  <si>
    <t>At all costs (Coûte que coûte)</t>
  </si>
  <si>
    <t>Claire Simon</t>
  </si>
  <si>
    <t>Billy Madison</t>
  </si>
  <si>
    <t>Tamra Davis</t>
  </si>
  <si>
    <t>Clueless</t>
  </si>
  <si>
    <t>Party Girl</t>
  </si>
  <si>
    <t>Daisy von Scherler Mayer</t>
  </si>
  <si>
    <t>Strange Days</t>
  </si>
  <si>
    <t>Three Wishes</t>
  </si>
  <si>
    <t>Total Eclipse</t>
  </si>
  <si>
    <t>A Couch in New York (Un divan à New York)</t>
  </si>
  <si>
    <t>1996</t>
  </si>
  <si>
    <t>Fire</t>
  </si>
  <si>
    <t>Deepa Mehta</t>
  </si>
  <si>
    <t>Foxfire</t>
  </si>
  <si>
    <t>Annette Haywood-Carter</t>
  </si>
  <si>
    <t>I Shot Andy Warhol</t>
  </si>
  <si>
    <t>Mary Harron</t>
  </si>
  <si>
    <t>The Mirror Has Two Faces</t>
  </si>
  <si>
    <t>Nénette and Boni</t>
  </si>
  <si>
    <t>The Portrait of a Lady</t>
  </si>
  <si>
    <t>Unstrung Heroes</t>
  </si>
  <si>
    <t>Diane Keaton</t>
  </si>
  <si>
    <t>White Men Are Cracking Up</t>
  </si>
  <si>
    <t>Ngozi Onwurah</t>
  </si>
  <si>
    <t>Oscar and Lucinda</t>
  </si>
  <si>
    <t>1997</t>
  </si>
  <si>
    <t>Out to Sea</t>
  </si>
  <si>
    <t>The Peacemaker</t>
  </si>
  <si>
    <t>Mimi Leder</t>
  </si>
  <si>
    <t>Strawberry Fields</t>
  </si>
  <si>
    <t>The Tango Lesson</t>
  </si>
  <si>
    <t>Washington Square</t>
  </si>
  <si>
    <t>Deep Impact</t>
  </si>
  <si>
    <t>1998</t>
  </si>
  <si>
    <t>Free Tibet</t>
  </si>
  <si>
    <t>Sarah Pirozek</t>
  </si>
  <si>
    <t>Half Baked</t>
  </si>
  <si>
    <t>High Art</t>
  </si>
  <si>
    <t>Lisa Cholodenko</t>
  </si>
  <si>
    <t>Madeline</t>
  </si>
  <si>
    <t>The Parent Trap</t>
  </si>
  <si>
    <t>Nancy Meyers</t>
  </si>
  <si>
    <t>That Strange Person</t>
  </si>
  <si>
    <t>Woo</t>
  </si>
  <si>
    <t>Beau Travail</t>
  </si>
  <si>
    <t>1999</t>
  </si>
  <si>
    <t>Boys Don't Cry</t>
  </si>
  <si>
    <t>Kimberly Peirce</t>
  </si>
  <si>
    <t>But I'm a Cheerleader</t>
  </si>
  <si>
    <t>Jamie Babbit</t>
  </si>
  <si>
    <t>The Green Elephant</t>
  </si>
  <si>
    <t>Svetlana Baskova</t>
  </si>
  <si>
    <t>Holy Smoke!</t>
  </si>
  <si>
    <t>The Third Miracle</t>
  </si>
  <si>
    <t>Titus</t>
  </si>
  <si>
    <t>Julie Taymor</t>
  </si>
  <si>
    <t>The Virgin Suicides</t>
  </si>
  <si>
    <t>Sophia Coppola</t>
  </si>
  <si>
    <t>American Psycho</t>
  </si>
  <si>
    <t>2000</t>
  </si>
  <si>
    <t>The Captive</t>
  </si>
  <si>
    <t>Geography of Fear</t>
  </si>
  <si>
    <t>Auli Mantila</t>
  </si>
  <si>
    <t>Girlfight</t>
  </si>
  <si>
    <t>Karyn Kusama</t>
  </si>
  <si>
    <t>The Gleaners and I</t>
  </si>
  <si>
    <t>Loser</t>
  </si>
  <si>
    <t>Love &amp; Basketball</t>
  </si>
  <si>
    <t>Gina Prince-Bythewood</t>
  </si>
  <si>
    <t>The Man Who Cried</t>
  </si>
  <si>
    <t>Pay It Forward</t>
  </si>
  <si>
    <t>Suspicious River</t>
  </si>
  <si>
    <t>Lynne Stopkewich</t>
  </si>
  <si>
    <t>The Weight of Water</t>
  </si>
  <si>
    <t>What Women Want</t>
  </si>
  <si>
    <t>Brief Crossing</t>
  </si>
  <si>
    <t>2001</t>
  </si>
  <si>
    <t>Charlotte Gray</t>
  </si>
  <si>
    <t>La Ciénaga</t>
  </si>
  <si>
    <t>Lucrecia Martel</t>
  </si>
  <si>
    <t>Fat Girl</t>
  </si>
  <si>
    <t>Lovely &amp; Amazing</t>
  </si>
  <si>
    <t>Nicole Holofcener</t>
  </si>
  <si>
    <t>Lovely Rita</t>
  </si>
  <si>
    <t>Jessica Hausner</t>
  </si>
  <si>
    <t>Monsoon Wedding</t>
  </si>
  <si>
    <t>Nowhere in Africa</t>
  </si>
  <si>
    <t>Caroline Link</t>
  </si>
  <si>
    <t>Rain</t>
  </si>
  <si>
    <t>Christine Jeffs</t>
  </si>
  <si>
    <t>Replay</t>
  </si>
  <si>
    <t>Catherine Corsini</t>
  </si>
  <si>
    <t>Shrek</t>
  </si>
  <si>
    <t>Vicky Jenson</t>
  </si>
  <si>
    <t>Trouble Every Day</t>
  </si>
  <si>
    <t>Bark!</t>
  </si>
  <si>
    <t>Katarzyna Adamik</t>
  </si>
  <si>
    <t>2002</t>
  </si>
  <si>
    <t>Bend It Like Beckham</t>
  </si>
  <si>
    <t>Blue Car</t>
  </si>
  <si>
    <t>Karen Moncrieff</t>
  </si>
  <si>
    <t>Divine Secrets of the Ya-Ya Sisterhood</t>
  </si>
  <si>
    <t>Callie Khouri</t>
  </si>
  <si>
    <t>Five Bottles of Vodka</t>
  </si>
  <si>
    <t>Frida</t>
  </si>
  <si>
    <t>The Guru</t>
  </si>
  <si>
    <t>Julie Walking Home</t>
  </si>
  <si>
    <t>Laurel Canyon</t>
  </si>
  <si>
    <t>Ripley's Game</t>
  </si>
  <si>
    <t>Sex Is Comedy</t>
  </si>
  <si>
    <t>Vendredi soir</t>
  </si>
  <si>
    <t>Whale Rider</t>
  </si>
  <si>
    <t>Niki Caro</t>
  </si>
  <si>
    <t>At Five in the Afternoon</t>
  </si>
  <si>
    <t>Samira Makhmalbaf</t>
  </si>
  <si>
    <t>2003</t>
  </si>
  <si>
    <t>The Forest for the Trees</t>
  </si>
  <si>
    <t>Maren Ade</t>
  </si>
  <si>
    <t>The Head</t>
  </si>
  <si>
    <t>In the Cut</t>
  </si>
  <si>
    <t>Lost in Translation</t>
  </si>
  <si>
    <t>Sofia Coppola</t>
  </si>
  <si>
    <t>Monster</t>
  </si>
  <si>
    <t>Patty Jenkins</t>
  </si>
  <si>
    <t>Nousukausi</t>
  </si>
  <si>
    <t>Johanna Vuoksenmaa</t>
  </si>
  <si>
    <t>Something's Gotta Give</t>
  </si>
  <si>
    <t>Sylvia</t>
  </si>
  <si>
    <t>Take My Eyes</t>
  </si>
  <si>
    <t>Icíar Bollaín</t>
  </si>
  <si>
    <t>Thirteen</t>
  </si>
  <si>
    <t>Catherine Hardwicke</t>
  </si>
  <si>
    <t>The Very Merry Widows</t>
  </si>
  <si>
    <t>Virgin</t>
  </si>
  <si>
    <t>Deborah Kampmeier</t>
  </si>
  <si>
    <t>Anatomy of Hell</t>
  </si>
  <si>
    <t>2004</t>
  </si>
  <si>
    <t>Bride and Prejudice</t>
  </si>
  <si>
    <t>Cavedweller</t>
  </si>
  <si>
    <t>Dear Frankie</t>
  </si>
  <si>
    <t>Shona Auerbach</t>
  </si>
  <si>
    <t>D.E.B.S.</t>
  </si>
  <si>
    <t>Angela Robinson</t>
  </si>
  <si>
    <t>Down to the Bone</t>
  </si>
  <si>
    <t>Debra Granik</t>
  </si>
  <si>
    <t>Goddess: How I fell in Love</t>
  </si>
  <si>
    <t>Renata Litvinova</t>
  </si>
  <si>
    <t>The Holy Girl</t>
  </si>
  <si>
    <t>Hotel</t>
  </si>
  <si>
    <t>The Intruder</t>
  </si>
  <si>
    <t>Mars</t>
  </si>
  <si>
    <t>Anna Melikyan</t>
  </si>
  <si>
    <t>The Prince &amp; Me</t>
  </si>
  <si>
    <t>Somersault</t>
  </si>
  <si>
    <t>Cate Shortland</t>
  </si>
  <si>
    <t>Speak</t>
  </si>
  <si>
    <t>Jessica Sharzer</t>
  </si>
  <si>
    <t>Tomorrow We Move (Demain on déménage)</t>
  </si>
  <si>
    <t>Vanity Fair</t>
  </si>
  <si>
    <t>The Woodsman</t>
  </si>
  <si>
    <t>Nicole Kassell</t>
  </si>
  <si>
    <t>Yes</t>
  </si>
  <si>
    <t>Æon Flux</t>
  </si>
  <si>
    <t>2005</t>
  </si>
  <si>
    <t>The Ballad of Jack and Rose</t>
  </si>
  <si>
    <t>Rebecca Miller</t>
  </si>
  <si>
    <t>Born into Brothels</t>
  </si>
  <si>
    <t>Zana Briski</t>
  </si>
  <si>
    <t>Ross Kauffman</t>
  </si>
  <si>
    <t>Close to Home</t>
  </si>
  <si>
    <t>Dalia Hager</t>
  </si>
  <si>
    <t>Vidi Bilu</t>
  </si>
  <si>
    <t>Herbie: Fully Loaded</t>
  </si>
  <si>
    <t>Look Both Ways</t>
  </si>
  <si>
    <t>Sarah Watt</t>
  </si>
  <si>
    <t>Lords of Dogtown</t>
  </si>
  <si>
    <t>North Country</t>
  </si>
  <si>
    <t>The Notorious Bettie Page</t>
  </si>
  <si>
    <t>On a Clear Day</t>
  </si>
  <si>
    <t>Gaby Dellal</t>
  </si>
  <si>
    <t>The Prize Winner of Defiance, Ohio</t>
  </si>
  <si>
    <t>Jane Anderson</t>
  </si>
  <si>
    <t>Sisters of '77</t>
  </si>
  <si>
    <t xml:space="preserve">Cynthia Salzman Mondell </t>
  </si>
  <si>
    <t>Allen Mondell</t>
  </si>
  <si>
    <t>Away from Her</t>
  </si>
  <si>
    <t>Sarah Polley</t>
  </si>
  <si>
    <t>2006</t>
  </si>
  <si>
    <t>Blood Tea and Red String</t>
  </si>
  <si>
    <t>Christiane Cegavske</t>
  </si>
  <si>
    <t>Copying Beethoven</t>
  </si>
  <si>
    <t>Day Night Day Night</t>
  </si>
  <si>
    <t>Julia Loktev</t>
  </si>
  <si>
    <t>The Dead Girl</t>
  </si>
  <si>
    <t>Diggers</t>
  </si>
  <si>
    <t>Katherine Dieckmann</t>
  </si>
  <si>
    <t>Friends with Money</t>
  </si>
  <si>
    <t>The Holiday</t>
  </si>
  <si>
    <t>Marie Antoinette</t>
  </si>
  <si>
    <t>Material Girls</t>
  </si>
  <si>
    <t>Old Joy</t>
  </si>
  <si>
    <t>Piter FM</t>
  </si>
  <si>
    <t>Oksana Bychkova</t>
  </si>
  <si>
    <t>Red Road</t>
  </si>
  <si>
    <t>Andrea Arnold</t>
  </si>
  <si>
    <t>Sherrybaby</t>
  </si>
  <si>
    <t>Laurie Collyer</t>
  </si>
  <si>
    <t>Stick It</t>
  </si>
  <si>
    <t>Jessica Bendinger</t>
  </si>
  <si>
    <t>Across the Universe</t>
  </si>
  <si>
    <t>2007</t>
  </si>
  <si>
    <t>All Is Forgiven</t>
  </si>
  <si>
    <t>Mia Hansen-Løve</t>
  </si>
  <si>
    <t>Death Defying Acts</t>
  </si>
  <si>
    <t>Hounddog</t>
  </si>
  <si>
    <t>I Could Never Be Your Woman</t>
  </si>
  <si>
    <t>The Last Mistress</t>
  </si>
  <si>
    <t>Mermaid</t>
  </si>
  <si>
    <t>Never Forever</t>
  </si>
  <si>
    <t>Gina Kim</t>
  </si>
  <si>
    <t>The Savages</t>
  </si>
  <si>
    <t>Tamara Jenkins</t>
  </si>
  <si>
    <t>Things We Lost in the Fire</t>
  </si>
  <si>
    <t>Susanne Bier</t>
  </si>
  <si>
    <t>Waitress</t>
  </si>
  <si>
    <t>Adrienne Shelly</t>
  </si>
  <si>
    <t>Water Lilies</t>
  </si>
  <si>
    <t>Céline Sciamma</t>
  </si>
  <si>
    <t>35 Shots of Rum</t>
  </si>
  <si>
    <t>2008</t>
  </si>
  <si>
    <t>Angus, Thongs and Perfect Snogging</t>
  </si>
  <si>
    <t>The Beaches of Agnes</t>
  </si>
  <si>
    <t>Everybody Dies but Me</t>
  </si>
  <si>
    <t>Valeriya Gai Germanika</t>
  </si>
  <si>
    <t>Frozen River</t>
  </si>
  <si>
    <t>Courtney Hunt</t>
  </si>
  <si>
    <t>The Headless Woman</t>
  </si>
  <si>
    <t>The Hurt Locker</t>
  </si>
  <si>
    <t>Mamma Mia!</t>
  </si>
  <si>
    <t>Phyllida Lloyd</t>
  </si>
  <si>
    <t>Ricky Rapper</t>
  </si>
  <si>
    <t>Mari Rantasila</t>
  </si>
  <si>
    <t>Stop-Loss</t>
  </si>
  <si>
    <t>Sunshine Cleaning</t>
  </si>
  <si>
    <t>Surveillance</t>
  </si>
  <si>
    <t>Jennifer Lynch</t>
  </si>
  <si>
    <t>Twilight</t>
  </si>
  <si>
    <t>Wendy and Lucy</t>
  </si>
  <si>
    <t>Amelia</t>
  </si>
  <si>
    <t>2009</t>
  </si>
  <si>
    <t>Bluebeard</t>
  </si>
  <si>
    <t>Bright Star</t>
  </si>
  <si>
    <t>Cold Souls</t>
  </si>
  <si>
    <t>Sophie Barthes</t>
  </si>
  <si>
    <t>An Education</t>
  </si>
  <si>
    <t>Lone Scherfig</t>
  </si>
  <si>
    <t>Everyone Else</t>
  </si>
  <si>
    <t>Father of My Children</t>
  </si>
  <si>
    <t>Fish Tank</t>
  </si>
  <si>
    <t>It's Complicated</t>
  </si>
  <si>
    <t>Janosik: A True Story</t>
  </si>
  <si>
    <t>Kasia Adamik</t>
  </si>
  <si>
    <t>Jennifer's Body</t>
  </si>
  <si>
    <t>Julie &amp; Julia</t>
  </si>
  <si>
    <t>Leaving</t>
  </si>
  <si>
    <t>Lourdes</t>
  </si>
  <si>
    <t>Motherhood</t>
  </si>
  <si>
    <t>My Year Without Sex</t>
  </si>
  <si>
    <t>One Foot Under</t>
  </si>
  <si>
    <t>The Private Lives of Pippa Lee</t>
  </si>
  <si>
    <t>Rage</t>
  </si>
  <si>
    <t>Ricky Rapper and the Bicycle Thief</t>
  </si>
  <si>
    <t>White Material</t>
  </si>
  <si>
    <t>Denizen</t>
  </si>
  <si>
    <t>J.A. Steel</t>
  </si>
  <si>
    <t>2010</t>
  </si>
  <si>
    <t>The Freebie</t>
  </si>
  <si>
    <t>Katie Aselton</t>
  </si>
  <si>
    <t>The High Cost of Living</t>
  </si>
  <si>
    <t>Deborah Chow</t>
  </si>
  <si>
    <t>I Will Follow</t>
  </si>
  <si>
    <t>Ava DuVernay</t>
  </si>
  <si>
    <t>The Kids Are All Right</t>
  </si>
  <si>
    <t>Nanny McPhee and the Big Bang</t>
  </si>
  <si>
    <t>Susanna White</t>
  </si>
  <si>
    <t>Night Catches Us</t>
  </si>
  <si>
    <t>Tanya Hamilton</t>
  </si>
  <si>
    <t>Please Give</t>
  </si>
  <si>
    <t>The Runaways</t>
  </si>
  <si>
    <t>Floria Sigismondi</t>
  </si>
  <si>
    <t>Somewhere</t>
  </si>
  <si>
    <t>The Tempest</t>
  </si>
  <si>
    <t>The Whistleblower</t>
  </si>
  <si>
    <t>Larysa Kondracki</t>
  </si>
  <si>
    <t>Winter's Bone</t>
  </si>
  <si>
    <t>A Little Bit of Heaven</t>
  </si>
  <si>
    <t>2011</t>
  </si>
  <si>
    <t>Almayer's Folly (La Folie Almayer)</t>
  </si>
  <si>
    <t>The Fatherless</t>
  </si>
  <si>
    <t>Marie Kreutzer</t>
  </si>
  <si>
    <t>Goodbye First Love</t>
  </si>
  <si>
    <t>Higher Ground</t>
  </si>
  <si>
    <t>Vera Farmiga</t>
  </si>
  <si>
    <t>Hysteria</t>
  </si>
  <si>
    <t>Tanya Wexler</t>
  </si>
  <si>
    <t>In Darkness (W ciemności)</t>
  </si>
  <si>
    <t>In the Land of Blood and Honey</t>
  </si>
  <si>
    <t>Angelina Jolie</t>
  </si>
  <si>
    <t>The Loneliest Planet</t>
  </si>
  <si>
    <t>The Moth Diaries</t>
  </si>
  <si>
    <t>The Off Hours</t>
  </si>
  <si>
    <t>Megan Griffiths</t>
  </si>
  <si>
    <t>One Day</t>
  </si>
  <si>
    <t>Pariah</t>
  </si>
  <si>
    <t>Dee Rees</t>
  </si>
  <si>
    <t>Red Riding Hood</t>
  </si>
  <si>
    <t>Return</t>
  </si>
  <si>
    <t>Liza Johnson</t>
  </si>
  <si>
    <t>Sengadal</t>
  </si>
  <si>
    <t>Leena Manimekalai</t>
  </si>
  <si>
    <t>The Storage</t>
  </si>
  <si>
    <t>Taru Mäkelä</t>
  </si>
  <si>
    <t>Take This Waltz</t>
  </si>
  <si>
    <t>Tomboy</t>
  </si>
  <si>
    <t>Two Days</t>
  </si>
  <si>
    <t>Avdotya Smirnova</t>
  </si>
  <si>
    <t>We Need to Talk About Kevin</t>
  </si>
  <si>
    <t>Lynne Ramsay</t>
  </si>
  <si>
    <t>Wuthering Heights</t>
  </si>
  <si>
    <t>Yelling to the Sky</t>
  </si>
  <si>
    <t>Victoria Mahoney</t>
  </si>
  <si>
    <t>Your Sister's Sister</t>
  </si>
  <si>
    <t>Lynn Shelton</t>
  </si>
  <si>
    <t>Black Rock</t>
  </si>
  <si>
    <t>2012</t>
  </si>
  <si>
    <t>Breaking the Girls</t>
  </si>
  <si>
    <t>Chained</t>
  </si>
  <si>
    <t>Eden</t>
  </si>
  <si>
    <t>Frenemies</t>
  </si>
  <si>
    <t>Ginger &amp; Rosa</t>
  </si>
  <si>
    <t>Kiss of the Damned</t>
  </si>
  <si>
    <t>Alexandra Cassavetes</t>
  </si>
  <si>
    <t>Middle of Nowhere</t>
  </si>
  <si>
    <t>The Reluctant Fundamentalist</t>
  </si>
  <si>
    <t>Saving Face</t>
  </si>
  <si>
    <t>Sharmeen Obaid-Chinoy</t>
  </si>
  <si>
    <t>Seeking a Friend for the End of the World</t>
  </si>
  <si>
    <t>Lorene Scafaria</t>
  </si>
  <si>
    <t>Stories We Tell</t>
  </si>
  <si>
    <t>Three World</t>
  </si>
  <si>
    <t>Vamps</t>
  </si>
  <si>
    <t>Wadjda</t>
  </si>
  <si>
    <t>Haifaa al-Mansour</t>
  </si>
  <si>
    <t>Zero Dark Thirty</t>
  </si>
  <si>
    <t>21 Ways to Ruin a Marriage</t>
  </si>
  <si>
    <t>2013</t>
  </si>
  <si>
    <t>A Teacher</t>
  </si>
  <si>
    <t>Hannah Fidell</t>
  </si>
  <si>
    <t>August Fools</t>
  </si>
  <si>
    <t>Abuse of Weakness</t>
  </si>
  <si>
    <t>Bastards</t>
  </si>
  <si>
    <t>Best Friends Forever</t>
  </si>
  <si>
    <t>Brea Grant</t>
  </si>
  <si>
    <t>The Bling Ring</t>
  </si>
  <si>
    <t>Butter on the Latch</t>
  </si>
  <si>
    <t>Josephine Decker</t>
  </si>
  <si>
    <t>Carrie</t>
  </si>
  <si>
    <t>Concussion</t>
  </si>
  <si>
    <t>Stacie Passon</t>
  </si>
  <si>
    <t>Desert Runners</t>
  </si>
  <si>
    <t>Jennifer Steinman</t>
  </si>
  <si>
    <t>Elektro Moskva</t>
  </si>
  <si>
    <t>Elena Tikhonova</t>
  </si>
  <si>
    <t>Enough Said</t>
  </si>
  <si>
    <t>Final Recipe</t>
  </si>
  <si>
    <t>Frozen</t>
  </si>
  <si>
    <t>Jennifer Lee</t>
  </si>
  <si>
    <t>Chris Buck</t>
  </si>
  <si>
    <t>Hateship, Loveship</t>
  </si>
  <si>
    <t>It Felt Like Love</t>
  </si>
  <si>
    <t>Eliza Hittman</t>
  </si>
  <si>
    <t>Lucky Them</t>
  </si>
  <si>
    <t>Night Moves</t>
  </si>
  <si>
    <t>Palo Alto</t>
  </si>
  <si>
    <t>Gia Coppola</t>
  </si>
  <si>
    <t>Plush</t>
  </si>
  <si>
    <t>The Pretty One</t>
  </si>
  <si>
    <t>Jenée LaMarque</t>
  </si>
  <si>
    <t>Some Girl(s)</t>
  </si>
  <si>
    <t>Soulmate</t>
  </si>
  <si>
    <t>Axelle Carolyn</t>
  </si>
  <si>
    <t>Sunlight Jr.</t>
  </si>
  <si>
    <t>The To Do List</t>
  </si>
  <si>
    <t>Maggie Carey</t>
  </si>
  <si>
    <t>Touchy Feely</t>
  </si>
  <si>
    <t>A Girl Walks Home Alone at Night</t>
  </si>
  <si>
    <t>Ana Lily Amirpour</t>
  </si>
  <si>
    <t>2014</t>
  </si>
  <si>
    <t>Amour Fou</t>
  </si>
  <si>
    <t>Appropriate Behavior</t>
  </si>
  <si>
    <t>Desiree Akhavan</t>
  </si>
  <si>
    <t>The Babadook</t>
  </si>
  <si>
    <t>Jennifer Kent</t>
  </si>
  <si>
    <t>Dukhtar</t>
  </si>
  <si>
    <t>Afia Nathaniel</t>
  </si>
  <si>
    <t>Girlhood</t>
  </si>
  <si>
    <t>Celine Sciamma</t>
  </si>
  <si>
    <t>Honeymoon</t>
  </si>
  <si>
    <t>Leigh Janiak</t>
  </si>
  <si>
    <t>I Believe in Unicorns</t>
  </si>
  <si>
    <t>Leah Meyerhoff</t>
  </si>
  <si>
    <t>Kelly &amp; Cal</t>
  </si>
  <si>
    <t>Jen McGowan</t>
  </si>
  <si>
    <t>Laggies</t>
  </si>
  <si>
    <t>Madame Bovary</t>
  </si>
  <si>
    <t>Miss Meadows</t>
  </si>
  <si>
    <t>Karen Leigh Hopkins</t>
  </si>
  <si>
    <t>Obvious Child</t>
  </si>
  <si>
    <t>Gillian Robespierre</t>
  </si>
  <si>
    <t>The Riot Club</t>
  </si>
  <si>
    <t>Selma</t>
  </si>
  <si>
    <t>The Sleepwalker</t>
  </si>
  <si>
    <t>Mona Fastvold</t>
  </si>
  <si>
    <t>Thou Wast Mild and Lovely</t>
  </si>
  <si>
    <t>Unbroken</t>
  </si>
  <si>
    <t>The Voices</t>
  </si>
  <si>
    <t>Marjane Satrapi</t>
  </si>
  <si>
    <t>Welcome to Me</t>
  </si>
  <si>
    <t>Shira Piven</t>
  </si>
  <si>
    <t>The Wonders</t>
  </si>
  <si>
    <t>Alice Rohrwacher</t>
  </si>
  <si>
    <t>3 Bahadur</t>
  </si>
  <si>
    <t>2015</t>
  </si>
  <si>
    <t>3 Generations</t>
  </si>
  <si>
    <t>6 Years</t>
  </si>
  <si>
    <t>The Adderall Diaries</t>
  </si>
  <si>
    <t>Pamela Romanowsky</t>
  </si>
  <si>
    <t>Addicted to Fresno</t>
  </si>
  <si>
    <t>Adult Camp</t>
  </si>
  <si>
    <t>Advantageous</t>
  </si>
  <si>
    <t>Jennifer Phang</t>
  </si>
  <si>
    <t>Bare</t>
  </si>
  <si>
    <t>Natalia Leite</t>
  </si>
  <si>
    <t>By the Sea</t>
  </si>
  <si>
    <t>The Diary of a Teenage Girl</t>
  </si>
  <si>
    <t>Marielle Heller</t>
  </si>
  <si>
    <t>The Dressmaker</t>
  </si>
  <si>
    <t>Good Morning Karachi</t>
  </si>
  <si>
    <t>Sabiha Sumar</t>
  </si>
  <si>
    <t>Gruber Is Leaving</t>
  </si>
  <si>
    <t>The Intern</t>
  </si>
  <si>
    <t>Into the Forest</t>
  </si>
  <si>
    <t>Patricia Rozema</t>
  </si>
  <si>
    <t>The Invitation</t>
  </si>
  <si>
    <t>Maggie's Plan</t>
  </si>
  <si>
    <t>Meadowland</t>
  </si>
  <si>
    <t>Reed Morano</t>
  </si>
  <si>
    <t>The Meddler</t>
  </si>
  <si>
    <t>Miss You Already</t>
  </si>
  <si>
    <t>Mustang</t>
  </si>
  <si>
    <t>Deniz Gamze Ergüven</t>
  </si>
  <si>
    <t>Sleeping With Other People</t>
  </si>
  <si>
    <t>Leslye Headland</t>
  </si>
  <si>
    <t>Songs My Brothers Taught Me</t>
  </si>
  <si>
    <t>Chloé Zhao</t>
  </si>
  <si>
    <t>Suffragette</t>
  </si>
  <si>
    <t>Sarah Gavron</t>
  </si>
  <si>
    <t>Summertime</t>
  </si>
  <si>
    <t>Traumfrauen</t>
  </si>
  <si>
    <t>Anika Decker</t>
  </si>
  <si>
    <t>Always Shine</t>
  </si>
  <si>
    <t>Sophia Takal</t>
  </si>
  <si>
    <t>2016</t>
  </si>
  <si>
    <t>American Honey</t>
  </si>
  <si>
    <t>The Bad Batch</t>
  </si>
  <si>
    <t>Carrie Pilby</t>
  </si>
  <si>
    <t>Susan Johnson</t>
  </si>
  <si>
    <t>Certain Women</t>
  </si>
  <si>
    <t>The Edge of Seventeen</t>
  </si>
  <si>
    <t>Kelly Fremon Craig</t>
  </si>
  <si>
    <t>Elvis &amp; Nixon</t>
  </si>
  <si>
    <t>In the Radiant City</t>
  </si>
  <si>
    <t>Rachel Lambert</t>
  </si>
  <si>
    <t>The Love Witch</t>
  </si>
  <si>
    <t>Anna Biller</t>
  </si>
  <si>
    <t>The Night Stalker</t>
  </si>
  <si>
    <t>Our Kind of Traitor</t>
  </si>
  <si>
    <t>Prevenge</t>
  </si>
  <si>
    <t>Alice Lowe</t>
  </si>
  <si>
    <t>Queen of Katwe</t>
  </si>
  <si>
    <t>Raw</t>
  </si>
  <si>
    <t>Julia Ducournau</t>
  </si>
  <si>
    <t>Sami Blood</t>
  </si>
  <si>
    <t>Amanda Kernell</t>
  </si>
  <si>
    <t>SMS für Dich</t>
  </si>
  <si>
    <t>Karoline Herfurth</t>
  </si>
  <si>
    <t>Strange Weather</t>
  </si>
  <si>
    <t>Their Finest</t>
  </si>
  <si>
    <t>Things to Come</t>
  </si>
  <si>
    <t>Mia Hansen-Love</t>
  </si>
  <si>
    <t>Toni Erdmann</t>
  </si>
  <si>
    <t>We Used to Be Cool</t>
  </si>
  <si>
    <t>White Girl</t>
  </si>
  <si>
    <t>Elizabeth Wood</t>
  </si>
  <si>
    <t>The Whole Truth</t>
  </si>
  <si>
    <t>Women Who Kill</t>
  </si>
  <si>
    <t>Ingrid Jungermann</t>
  </si>
  <si>
    <t>Band Aid</t>
  </si>
  <si>
    <t>Zoe Lister-Jones</t>
  </si>
  <si>
    <t>2017</t>
  </si>
  <si>
    <t>Beach Rats</t>
  </si>
  <si>
    <t>The Beguiled</t>
  </si>
  <si>
    <t>Berlin Syndrome</t>
  </si>
  <si>
    <t>The Boy Downstairs</t>
  </si>
  <si>
    <t>Sophie Brooks</t>
  </si>
  <si>
    <t>Detroit</t>
  </si>
  <si>
    <t>The Feels</t>
  </si>
  <si>
    <t>Faces Places</t>
  </si>
  <si>
    <t>First they Killed My Father</t>
  </si>
  <si>
    <t>The Institute</t>
  </si>
  <si>
    <t>Pamela Romanowskyy</t>
  </si>
  <si>
    <t>James Franco</t>
  </si>
  <si>
    <t>The Keeping Hours</t>
  </si>
  <si>
    <t>Lady Bird</t>
  </si>
  <si>
    <t>Greta Gerwig</t>
  </si>
  <si>
    <t>Landline</t>
  </si>
  <si>
    <t>Lemon</t>
  </si>
  <si>
    <t>Janicza Bravo</t>
  </si>
  <si>
    <t>Let the Sunshine In</t>
  </si>
  <si>
    <t>M.F.A.</t>
  </si>
  <si>
    <t>Mary Shelley</t>
  </si>
  <si>
    <t>Maya Dardel</t>
  </si>
  <si>
    <t>Magdalena Zyzak</t>
  </si>
  <si>
    <t>Novitiate</t>
  </si>
  <si>
    <t>Maggie Betts</t>
  </si>
  <si>
    <t>Outside In</t>
  </si>
  <si>
    <t>The Party</t>
  </si>
  <si>
    <t>Professor Marston and the Wonder Women</t>
  </si>
  <si>
    <t>Coralie Fargeat</t>
  </si>
  <si>
    <t>The Rider</t>
  </si>
  <si>
    <t>Rough Night</t>
  </si>
  <si>
    <t>Lucia Aniello</t>
  </si>
  <si>
    <t>Spoor (Pokot)</t>
  </si>
  <si>
    <t>The Wasting</t>
  </si>
  <si>
    <t>Carolyn Saunders</t>
  </si>
  <si>
    <t>Woman Walks Ahead</t>
  </si>
  <si>
    <t>Wonder Woman</t>
  </si>
  <si>
    <t>You Were Never Really Here</t>
  </si>
  <si>
    <t>The Zookeeper's Wife</t>
  </si>
  <si>
    <t>All About Nina</t>
  </si>
  <si>
    <t>Eva Vives</t>
  </si>
  <si>
    <t>2018</t>
  </si>
  <si>
    <t>An Impossible Love</t>
  </si>
  <si>
    <t>Blockers</t>
  </si>
  <si>
    <t>Kay Cannon</t>
  </si>
  <si>
    <t>Can You Ever Forgive Me?</t>
  </si>
  <si>
    <t>Charlie Says</t>
  </si>
  <si>
    <t>Dead Pigs</t>
  </si>
  <si>
    <t>Cathy Yan</t>
  </si>
  <si>
    <t>Destroyer</t>
  </si>
  <si>
    <t>Family</t>
  </si>
  <si>
    <t>Laura Steinel</t>
  </si>
  <si>
    <t>First Match</t>
  </si>
  <si>
    <t>Olivia Newman</t>
  </si>
  <si>
    <t>Furlough</t>
  </si>
  <si>
    <t>Galveston</t>
  </si>
  <si>
    <t>Mélanie Laurent</t>
  </si>
  <si>
    <t>Happier Times, Grump</t>
  </si>
  <si>
    <t>Tiina Lymi</t>
  </si>
  <si>
    <t>Happy as Lazzaro</t>
  </si>
  <si>
    <t>High Life</t>
  </si>
  <si>
    <t>Holiday</t>
  </si>
  <si>
    <t>Isabella Eklöf</t>
  </si>
  <si>
    <t>I Think We're Alone Now</t>
  </si>
  <si>
    <t>Ladyworld</t>
  </si>
  <si>
    <t>Amanda Kramer</t>
  </si>
  <si>
    <t>The Land of Steady Habits</t>
  </si>
  <si>
    <t>Leave No Trace</t>
  </si>
  <si>
    <t>Little Woods</t>
  </si>
  <si>
    <t>Nia DaCosta</t>
  </si>
  <si>
    <t>The Long Dumb Road</t>
  </si>
  <si>
    <t>M</t>
  </si>
  <si>
    <t>Anna Eriksson</t>
  </si>
  <si>
    <t>Madeline's Madeline</t>
  </si>
  <si>
    <t>The Man Who Surprised Everyone</t>
  </si>
  <si>
    <t>Natasha Merkulova</t>
  </si>
  <si>
    <t>Mary Queen of Scots</t>
  </si>
  <si>
    <t>Josie Rourke</t>
  </si>
  <si>
    <t>Maya</t>
  </si>
  <si>
    <t>The Miseducation of Cameron Post</t>
  </si>
  <si>
    <t>Mouthpiece</t>
  </si>
  <si>
    <t>Nancy</t>
  </si>
  <si>
    <t>Christina Choe</t>
  </si>
  <si>
    <t>Nappily Ever After</t>
  </si>
  <si>
    <t>Never Goin' Back</t>
  </si>
  <si>
    <t>Augustine Frizzell</t>
  </si>
  <si>
    <t>The New Romantic</t>
  </si>
  <si>
    <t>Carly Stone</t>
  </si>
  <si>
    <t>Night Comes On</t>
  </si>
  <si>
    <t>Jordana Spiro</t>
  </si>
  <si>
    <t>The Nightingale</t>
  </si>
  <si>
    <t>On the Basis of Sex</t>
  </si>
  <si>
    <t>Ophelia</t>
  </si>
  <si>
    <t>Claire McCarthy</t>
  </si>
  <si>
    <t>Private Life</t>
  </si>
  <si>
    <t>Rust Creek</t>
  </si>
  <si>
    <t>Sadie</t>
  </si>
  <si>
    <t>Skate Kitchen</t>
  </si>
  <si>
    <t>Crystal Moselle</t>
  </si>
  <si>
    <t>The Spy Who Dumped Me</t>
  </si>
  <si>
    <t>Susanna Fogel</t>
  </si>
  <si>
    <t>State Like Sleep</t>
  </si>
  <si>
    <t>Meredith Danluck</t>
  </si>
  <si>
    <t>Story of One Appointment</t>
  </si>
  <si>
    <t>Swingers</t>
  </si>
  <si>
    <t>Pamela Tola</t>
  </si>
  <si>
    <t>Treat Me Like Fire</t>
  </si>
  <si>
    <t>Marie Monge</t>
  </si>
  <si>
    <t>We Have Always Lived in the Castle</t>
  </si>
  <si>
    <t>What They Had</t>
  </si>
  <si>
    <t>Elizabeth Chomko</t>
  </si>
  <si>
    <t>The Wind</t>
  </si>
  <si>
    <t>Emma Tammi</t>
  </si>
  <si>
    <t>A Wrinkle in Time</t>
  </si>
  <si>
    <t>A Beautiful Day in the Neighborhood</t>
  </si>
  <si>
    <t>2019</t>
  </si>
  <si>
    <t>Always Be My Maybe</t>
  </si>
  <si>
    <t>Nahnatchka Khan</t>
  </si>
  <si>
    <t>Atlantics</t>
  </si>
  <si>
    <t>Mati Diop</t>
  </si>
  <si>
    <t>Babyteeth</t>
  </si>
  <si>
    <t>Shannon Murphy</t>
  </si>
  <si>
    <t>Black Christmas</t>
  </si>
  <si>
    <t>Black Conflux</t>
  </si>
  <si>
    <t>Nicole Dorsey</t>
  </si>
  <si>
    <t>Blinded by the Light</t>
  </si>
  <si>
    <t>Body at Brighton Rock</t>
  </si>
  <si>
    <t>Roxanne Benjamin</t>
  </si>
  <si>
    <t>Booksmart</t>
  </si>
  <si>
    <t>Olivia Wilde</t>
  </si>
  <si>
    <t>Buffaloed</t>
  </si>
  <si>
    <t>Captain Marvel</t>
  </si>
  <si>
    <t>Anna Boden</t>
  </si>
  <si>
    <t>Ryan Fleck</t>
  </si>
  <si>
    <t>Carmilla</t>
  </si>
  <si>
    <t>Emily Harris</t>
  </si>
  <si>
    <t>Caviar</t>
  </si>
  <si>
    <t>Clemency</t>
  </si>
  <si>
    <t>Chinonye Chukwu</t>
  </si>
  <si>
    <t>The Farewell</t>
  </si>
  <si>
    <t>Lulu Wang</t>
  </si>
  <si>
    <t>First Cow</t>
  </si>
  <si>
    <t>Frozen II</t>
  </si>
  <si>
    <t>The Ground Beneath My Feet</t>
  </si>
  <si>
    <t>Harriet</t>
  </si>
  <si>
    <t>Kasi Lemmons</t>
  </si>
  <si>
    <t>Hustlers</t>
  </si>
  <si>
    <t>I'll Find You</t>
  </si>
  <si>
    <t>Instinct</t>
  </si>
  <si>
    <t>Halina Reijn</t>
  </si>
  <si>
    <t>Judy and Punch</t>
  </si>
  <si>
    <t>Mirrah Foulkes</t>
  </si>
  <si>
    <t>The Kindness of Strangers</t>
  </si>
  <si>
    <t>Knives and Skin</t>
  </si>
  <si>
    <t>Jennifer Reeder</t>
  </si>
  <si>
    <t>Little Joe</t>
  </si>
  <si>
    <t>Miss Bala</t>
  </si>
  <si>
    <t>Mr. Jones</t>
  </si>
  <si>
    <t>The Other Lamb</t>
  </si>
  <si>
    <t>Małgorzata Szumowska</t>
  </si>
  <si>
    <t>Paradise Hills</t>
  </si>
  <si>
    <t>Alice Waddington</t>
  </si>
  <si>
    <t>The Perfect Candidate</t>
  </si>
  <si>
    <t>Portrait of a Lady on Fire</t>
  </si>
  <si>
    <t>Queen &amp; Slim</t>
  </si>
  <si>
    <t>Melina Matsoukas</t>
  </si>
  <si>
    <t>Queen of the Morning Calm</t>
  </si>
  <si>
    <t>Gloria Ui Young Kim</t>
  </si>
  <si>
    <t>Radioactive</t>
  </si>
  <si>
    <t>Rocks</t>
  </si>
  <si>
    <t>Saint Maud</t>
  </si>
  <si>
    <t>Rose Glass</t>
  </si>
  <si>
    <t>Satanic Panic</t>
  </si>
  <si>
    <t>Chelsea Stardust</t>
  </si>
  <si>
    <t>The Souvenir</t>
  </si>
  <si>
    <t>Joanna Hogg</t>
  </si>
  <si>
    <t>Sweethearts</t>
  </si>
  <si>
    <t>Sword of Trust</t>
  </si>
  <si>
    <t>System Crasher</t>
  </si>
  <si>
    <t>Nora Fingscheidt</t>
  </si>
  <si>
    <t>To the Stars</t>
  </si>
  <si>
    <t>Martha Stephens</t>
  </si>
  <si>
    <t>The Wall of Mexico</t>
  </si>
  <si>
    <t>When I'm a Moth</t>
  </si>
  <si>
    <t>12 Hour Shift</t>
  </si>
  <si>
    <t>2020</t>
  </si>
  <si>
    <t>Amulet</t>
  </si>
  <si>
    <t>Romola Garai</t>
  </si>
  <si>
    <t>Berlin, Berlin – Der Film</t>
  </si>
  <si>
    <t>Franziska Meyer Price</t>
  </si>
  <si>
    <t>Between Waves</t>
  </si>
  <si>
    <t>Virginia Abramovich</t>
  </si>
  <si>
    <t>Birds of Prey</t>
  </si>
  <si>
    <t>The Broken Hearts Gallery</t>
  </si>
  <si>
    <t>Natalie Krinsky</t>
  </si>
  <si>
    <t>Charlatan (Šarlatán)</t>
  </si>
  <si>
    <t>Charter</t>
  </si>
  <si>
    <t>The Craft: Legacy</t>
  </si>
  <si>
    <t>The Curse of Willow Song</t>
  </si>
  <si>
    <t>Karen Lam</t>
  </si>
  <si>
    <t>Emma</t>
  </si>
  <si>
    <t>Autumn de Wilde</t>
  </si>
  <si>
    <t>Father of the Bride Part 3(ish)</t>
  </si>
  <si>
    <t>The Forty-Year-Old Version</t>
  </si>
  <si>
    <t>Rahda Blank</t>
  </si>
  <si>
    <t>The Glorias</t>
  </si>
  <si>
    <t>The High Note</t>
  </si>
  <si>
    <t>Nisha Ganatra</t>
  </si>
  <si>
    <t>Holler</t>
  </si>
  <si>
    <t>Nicole Riegel</t>
  </si>
  <si>
    <t>I'm Your Woman</t>
  </si>
  <si>
    <t>Julia Hart</t>
  </si>
  <si>
    <t>Kajillionaire</t>
  </si>
  <si>
    <t>Miranda July</t>
  </si>
  <si>
    <t>Ladies of Steel</t>
  </si>
  <si>
    <t>Lucky</t>
  </si>
  <si>
    <t>Natasha Kermani</t>
  </si>
  <si>
    <t>Lorelei</t>
  </si>
  <si>
    <t>Sabrina Doyle</t>
  </si>
  <si>
    <t>Mainstream</t>
  </si>
  <si>
    <t>Misbehaviour</t>
  </si>
  <si>
    <t>Philippa Lowthorpe</t>
  </si>
  <si>
    <t>Never Rarely Sometimes Always</t>
  </si>
  <si>
    <t>Nomadland</t>
  </si>
  <si>
    <t>The Old Guard</t>
  </si>
  <si>
    <t>Promising Young Woman</t>
  </si>
  <si>
    <t>Emerald Fennell</t>
  </si>
  <si>
    <t>Quo Vadis, Aida?</t>
  </si>
  <si>
    <t>Jasmila Žbanić</t>
  </si>
  <si>
    <t>Relic</t>
  </si>
  <si>
    <t>Natalie Erika James</t>
  </si>
  <si>
    <t>The Rhythm Section</t>
  </si>
  <si>
    <t>The Roads Not Taken</t>
  </si>
  <si>
    <t>Tove</t>
  </si>
  <si>
    <t>Zaida Bergroth</t>
  </si>
  <si>
    <t>She Dies Tomorrow</t>
  </si>
  <si>
    <t>Amy Seimetz</t>
  </si>
  <si>
    <t>Shirley</t>
  </si>
  <si>
    <t>Shiva Baby</t>
  </si>
  <si>
    <t>Emma Seligman</t>
  </si>
  <si>
    <t>The Three</t>
  </si>
  <si>
    <t>Anna Melikian</t>
  </si>
  <si>
    <t>What We Wanted</t>
  </si>
  <si>
    <t>Ulrike Kofler</t>
  </si>
  <si>
    <t>Wonder Woman 1984</t>
  </si>
  <si>
    <t>The World to Come</t>
  </si>
  <si>
    <t>70 Is Just a Number</t>
  </si>
  <si>
    <t>2021</t>
  </si>
  <si>
    <t>A Mouthful of Air</t>
  </si>
  <si>
    <t>Amy Koppelman</t>
  </si>
  <si>
    <t>Bergman Island</t>
  </si>
  <si>
    <t>Black Widow</t>
  </si>
  <si>
    <t>Candyman</t>
  </si>
  <si>
    <t>Captain Volkonogov Escaped</t>
  </si>
  <si>
    <t>Censor</t>
  </si>
  <si>
    <t>Prano Bailey-Bond</t>
  </si>
  <si>
    <t>CODA</t>
  </si>
  <si>
    <t>Siân Heder</t>
  </si>
  <si>
    <t>The Divide</t>
  </si>
  <si>
    <t>Earwig</t>
  </si>
  <si>
    <t>Lucile Hadžihalilović</t>
  </si>
  <si>
    <t>Eternals</t>
  </si>
  <si>
    <t>The Fallout</t>
  </si>
  <si>
    <t>Megan Park</t>
  </si>
  <si>
    <t>Gerda</t>
  </si>
  <si>
    <t>Natalya Kudryashova</t>
  </si>
  <si>
    <t>Happening</t>
  </si>
  <si>
    <t>Audrey Diwan</t>
  </si>
  <si>
    <t>I'm Your Man</t>
  </si>
  <si>
    <t>Maria Schrader</t>
  </si>
  <si>
    <t>The Lost Daughter</t>
  </si>
  <si>
    <t>Maggie Gyllenhaal</t>
  </si>
  <si>
    <t>The Manor</t>
  </si>
  <si>
    <t>Mark, Mary &amp; Some Other People</t>
  </si>
  <si>
    <t>Hannah Marks</t>
  </si>
  <si>
    <t>The Matrix Resurrections</t>
  </si>
  <si>
    <t>Lana Wachowski</t>
  </si>
  <si>
    <t>Mayday</t>
  </si>
  <si>
    <t>Karen Cinorre</t>
  </si>
  <si>
    <t>Mona Lisa and the Blood Moon</t>
  </si>
  <si>
    <t>Mothering Sunday</t>
  </si>
  <si>
    <t>Eva Husson</t>
  </si>
  <si>
    <t>The North Wind</t>
  </si>
  <si>
    <t>The Novice</t>
  </si>
  <si>
    <t>Lauren Hadaway</t>
  </si>
  <si>
    <t>Petite Maman</t>
  </si>
  <si>
    <t>Pleasure</t>
  </si>
  <si>
    <t>Ninja Thyberg</t>
  </si>
  <si>
    <t>The Power of the Dog</t>
  </si>
  <si>
    <t>Quarantine</t>
  </si>
  <si>
    <t>Diana Ringo</t>
  </si>
  <si>
    <t>She Will</t>
  </si>
  <si>
    <t>Charlotte Colbert</t>
  </si>
  <si>
    <t>Silent Night</t>
  </si>
  <si>
    <t>Camille Griffin</t>
  </si>
  <si>
    <t>Stellar</t>
  </si>
  <si>
    <t>Darlene Naponse</t>
  </si>
  <si>
    <t>The Story of My Wife</t>
  </si>
  <si>
    <t>Ildikó Enyedi</t>
  </si>
  <si>
    <t>Sweetheart</t>
  </si>
  <si>
    <t>Marley Morrison</t>
  </si>
  <si>
    <t>Titane</t>
  </si>
  <si>
    <t>Together Together</t>
  </si>
  <si>
    <t>Nikole Beckwith</t>
  </si>
  <si>
    <t>Unclenching the Fists</t>
  </si>
  <si>
    <t>Kira Kovalenko</t>
  </si>
  <si>
    <t>Violet</t>
  </si>
  <si>
    <t>Justine Bateman</t>
  </si>
  <si>
    <t>Wolf</t>
  </si>
  <si>
    <t>Nathalie Biancheri</t>
  </si>
  <si>
    <t>Yuni</t>
  </si>
  <si>
    <t>Kamila Andini</t>
  </si>
  <si>
    <t>Zola</t>
  </si>
  <si>
    <t>Aftersun</t>
  </si>
  <si>
    <t>Charlotte Wells</t>
  </si>
  <si>
    <t>2022</t>
  </si>
  <si>
    <t>Alice, Darling</t>
  </si>
  <si>
    <t>Mary Nighy</t>
  </si>
  <si>
    <t>Amanda</t>
  </si>
  <si>
    <t>Carolina Cavalli</t>
  </si>
  <si>
    <t>Aristotle and Dante Discover the Secrets of the Universe</t>
  </si>
  <si>
    <t>Aitch Alberto</t>
  </si>
  <si>
    <t>Batata</t>
  </si>
  <si>
    <t>Noura Kevorkian</t>
  </si>
  <si>
    <t>Bodies Bodies Bodies</t>
  </si>
  <si>
    <t>Both Sides of the Blade</t>
  </si>
  <si>
    <t>Continue</t>
  </si>
  <si>
    <t>Nadine Crocker</t>
  </si>
  <si>
    <t>Corsage</t>
  </si>
  <si>
    <t>Dalíland</t>
  </si>
  <si>
    <t>Deadstream</t>
  </si>
  <si>
    <t>Vanessa Winters</t>
  </si>
  <si>
    <t>Joseph Winters</t>
  </si>
  <si>
    <t>Don't Make Me Go</t>
  </si>
  <si>
    <t>Emily</t>
  </si>
  <si>
    <t>Frances O'Connor</t>
  </si>
  <si>
    <t>Fresh</t>
  </si>
  <si>
    <t>Mimi Cave</t>
  </si>
  <si>
    <t>Girl Picture</t>
  </si>
  <si>
    <t>Alli Haapasalo</t>
  </si>
  <si>
    <t>Glorious</t>
  </si>
  <si>
    <t>Rebekah McKendry</t>
  </si>
  <si>
    <t>Good Luck to You, Leo Grande</t>
  </si>
  <si>
    <t>Sophie Hyde</t>
  </si>
  <si>
    <t>Hatching</t>
  </si>
  <si>
    <t>Hanna Bergholm</t>
  </si>
  <si>
    <t>Just Something Nice</t>
  </si>
  <si>
    <t>Mack &amp; Rita</t>
  </si>
  <si>
    <t>Montreal Girls</t>
  </si>
  <si>
    <t>Patricia Chica</t>
  </si>
  <si>
    <t>Next Exit</t>
  </si>
  <si>
    <t>Mali Elfman</t>
  </si>
  <si>
    <t>North of Normal</t>
  </si>
  <si>
    <t>Piggy</t>
  </si>
  <si>
    <t>Carlota Pereda</t>
  </si>
  <si>
    <t>Please Baby Please</t>
  </si>
  <si>
    <t>She Said</t>
  </si>
  <si>
    <t>Showing Up</t>
  </si>
  <si>
    <t>Sissy</t>
  </si>
  <si>
    <t>Hannah Barlow</t>
  </si>
  <si>
    <t>Kane Senes</t>
  </si>
  <si>
    <t>The Sky Is Everywhere</t>
  </si>
  <si>
    <t>Stars at Noon</t>
  </si>
  <si>
    <t>The Swearing Jar</t>
  </si>
  <si>
    <t>Lindsay MacKay</t>
  </si>
  <si>
    <t>Till</t>
  </si>
  <si>
    <t>Torn Hearts</t>
  </si>
  <si>
    <t>Umma</t>
  </si>
  <si>
    <t>Iris K. Shim</t>
  </si>
  <si>
    <t>Watcher</t>
  </si>
  <si>
    <t>Chloe Okuno</t>
  </si>
  <si>
    <t>When Time Got Louder</t>
  </si>
  <si>
    <t>Connie Cocchia</t>
  </si>
  <si>
    <t>Where the Crawdads Sing</t>
  </si>
  <si>
    <t>Women Talking</t>
  </si>
  <si>
    <t>Wunderschön</t>
  </si>
  <si>
    <t>2023</t>
  </si>
  <si>
    <t>A Thousand and One</t>
  </si>
  <si>
    <t>A.V. Rockwell</t>
  </si>
  <si>
    <t>About My Father</t>
  </si>
  <si>
    <t>Laura Terruso</t>
  </si>
  <si>
    <t>All Dirt Roads Taste of Salt</t>
  </si>
  <si>
    <t>Raven Jackson</t>
  </si>
  <si>
    <t>Are You There God? It's Me, Margaret.</t>
  </si>
  <si>
    <t>Barbie</t>
  </si>
  <si>
    <t>Birth/Rebirth</t>
  </si>
  <si>
    <t>Laura Moss</t>
  </si>
  <si>
    <t>Bottoms</t>
  </si>
  <si>
    <t>Cocaine Bear</t>
  </si>
  <si>
    <t>Elizabeth Banks</t>
  </si>
  <si>
    <t>Days of Happiness</t>
  </si>
  <si>
    <t>Chloé Robichaud</t>
  </si>
  <si>
    <t>Desperation Road</t>
  </si>
  <si>
    <t>The End We Start From</t>
  </si>
  <si>
    <t>Mahalia Belo</t>
  </si>
  <si>
    <t>Family Time</t>
  </si>
  <si>
    <t>Tia Kouvo</t>
  </si>
  <si>
    <t>Fair Play</t>
  </si>
  <si>
    <t>Chloe Domont</t>
  </si>
  <si>
    <t>Finality of Dusk</t>
  </si>
  <si>
    <t>Madison Thomas</t>
  </si>
  <si>
    <t>Five Nights at Freddy's</t>
  </si>
  <si>
    <t>Green Border (Zielona Granica)</t>
  </si>
  <si>
    <t>Homecoming</t>
  </si>
  <si>
    <t>How to Have Sex</t>
  </si>
  <si>
    <t>Molly Manning Walker</t>
  </si>
  <si>
    <t>Howdy, Neighbor!</t>
  </si>
  <si>
    <t>Allisyn Snyder</t>
  </si>
  <si>
    <t>Jeanne du Barry</t>
  </si>
  <si>
    <t>Maïwenn</t>
  </si>
  <si>
    <t>Joy Ride</t>
  </si>
  <si>
    <t>Adele Lim</t>
  </si>
  <si>
    <t>La chimera</t>
  </si>
  <si>
    <t>Lee</t>
  </si>
  <si>
    <t>Ellen Kuras</t>
  </si>
  <si>
    <t>Lovely, Dark, and Deep</t>
  </si>
  <si>
    <t>Teresa Sutherland</t>
  </si>
  <si>
    <t>Mafia Mamma</t>
  </si>
  <si>
    <t>The Marvels</t>
  </si>
  <si>
    <t>The Order of Time</t>
  </si>
  <si>
    <t>Past Lives</t>
  </si>
  <si>
    <t>Celine Song</t>
  </si>
  <si>
    <t>Perpetrator</t>
  </si>
  <si>
    <t>The Pod Generation</t>
  </si>
  <si>
    <t>Polarized</t>
  </si>
  <si>
    <t>Shamim Sarif</t>
  </si>
  <si>
    <t>Polite Society</t>
  </si>
  <si>
    <t>Nida Manzoor</t>
  </si>
  <si>
    <t>Priscilla</t>
  </si>
  <si>
    <t>Rye Lane</t>
  </si>
  <si>
    <t>Raine Allen-Miller</t>
  </si>
  <si>
    <t>Saltburn</t>
  </si>
  <si>
    <t>Scrambled</t>
  </si>
  <si>
    <t>Leah McKendrick</t>
  </si>
  <si>
    <t>Scrapper</t>
  </si>
  <si>
    <t>Charlotte Regan</t>
  </si>
  <si>
    <t>Sometimes I Think About Dying</t>
  </si>
  <si>
    <t>The Starling Girl</t>
  </si>
  <si>
    <t>Laurel Parmet</t>
  </si>
  <si>
    <t>There's Something Wrong with the Children</t>
  </si>
  <si>
    <t>Totally Killer</t>
  </si>
  <si>
    <t>Unseen</t>
  </si>
  <si>
    <t>Yoko Okumura</t>
  </si>
  <si>
    <t>Woman of the Hour</t>
  </si>
  <si>
    <t>Anna Kendrick</t>
  </si>
  <si>
    <t>The Worst Idea Ever</t>
  </si>
  <si>
    <t>You Hurt My Feelings</t>
  </si>
  <si>
    <t>All We Imagine as Light</t>
  </si>
  <si>
    <t>Payal Kapadia</t>
  </si>
  <si>
    <t>2024</t>
  </si>
  <si>
    <t>Apartment 7A</t>
  </si>
  <si>
    <t>The Black Sea</t>
  </si>
  <si>
    <t>Blink Twice</t>
  </si>
  <si>
    <t>Zoë Kravitz</t>
  </si>
  <si>
    <t>Babygirl</t>
  </si>
  <si>
    <t>Beautiful Rebel</t>
  </si>
  <si>
    <t>Cinzia Torrini</t>
  </si>
  <si>
    <t>Bird</t>
  </si>
  <si>
    <t>The Fire Inside</t>
  </si>
  <si>
    <t>Rachel Morrison</t>
  </si>
  <si>
    <t>The Last Showgirl</t>
  </si>
  <si>
    <t>Love in the Big City</t>
  </si>
  <si>
    <t>E.oni</t>
  </si>
  <si>
    <t>Love Lies Bleeding</t>
  </si>
  <si>
    <t>Madame Web</t>
  </si>
  <si>
    <t>S. J. Clarkson</t>
  </si>
  <si>
    <t>Moana 2</t>
  </si>
  <si>
    <t>Dana Ledoux Miller</t>
  </si>
  <si>
    <t>David Derrick Jr.</t>
  </si>
  <si>
    <t>Jason Hand</t>
  </si>
  <si>
    <t>My Name Is Dingo</t>
  </si>
  <si>
    <t>My Old Ass</t>
  </si>
  <si>
    <t>My Undesirable Friends: Part I — Last Air in Moscow</t>
  </si>
  <si>
    <t>Nightbitch</t>
  </si>
  <si>
    <t>Stolen</t>
  </si>
  <si>
    <t>Elle Márjá Eira</t>
  </si>
  <si>
    <t>Stormskerry Maja</t>
  </si>
  <si>
    <t>The Substance</t>
  </si>
  <si>
    <t>Toxic</t>
  </si>
  <si>
    <t>Saulė Bliuvaitė</t>
  </si>
  <si>
    <t>Venom: The Last Dance</t>
  </si>
  <si>
    <t>Kelly Marcel</t>
  </si>
  <si>
    <t>The Outrun</t>
  </si>
  <si>
    <t>100 Sunset</t>
  </si>
  <si>
    <t>Kunsang Kyirong</t>
  </si>
  <si>
    <t>2025</t>
  </si>
  <si>
    <t>After Dreaming</t>
  </si>
  <si>
    <t>Christine Haroutounian</t>
  </si>
  <si>
    <t>Akashi</t>
  </si>
  <si>
    <t>Mayumi Yoshida</t>
  </si>
  <si>
    <t>Alpha</t>
  </si>
  <si>
    <t>Bad Girl</t>
  </si>
  <si>
    <t>Varsha Bharath</t>
  </si>
  <si>
    <t>Bad Influence</t>
  </si>
  <si>
    <t>Chloé Wallace</t>
  </si>
  <si>
    <t>Bird in Hand</t>
  </si>
  <si>
    <t>Melody C. Roscher</t>
  </si>
  <si>
    <t>The Crazy Empress</t>
  </si>
  <si>
    <t>Radda Novikova</t>
  </si>
  <si>
    <t>The Curse of Modigliani</t>
  </si>
  <si>
    <t>Dead Lover</t>
  </si>
  <si>
    <t>Grace Glowicki</t>
  </si>
  <si>
    <t>Die My Love</t>
  </si>
  <si>
    <t>Eleanor the Great</t>
  </si>
  <si>
    <t>Scarlett Johansson</t>
  </si>
  <si>
    <t>Franz</t>
  </si>
  <si>
    <t>Hamnet</t>
  </si>
  <si>
    <t>Hedda</t>
  </si>
  <si>
    <t>A House of Dynamite</t>
  </si>
  <si>
    <t>The Ice Tower</t>
  </si>
  <si>
    <t>If I Had Legs I'd Kick You</t>
  </si>
  <si>
    <t>Mary Bronstein</t>
  </si>
  <si>
    <t>KPop Demon Hunters</t>
  </si>
  <si>
    <t>Maggie Kang</t>
  </si>
  <si>
    <t>Chris Appelhans</t>
  </si>
  <si>
    <t>Love, Brooklyn</t>
  </si>
  <si>
    <t>Rachael Abigail Holder</t>
  </si>
  <si>
    <t>The Mastermind</t>
  </si>
  <si>
    <t>Nesting</t>
  </si>
  <si>
    <t>Chloé Cinq-Mars</t>
  </si>
  <si>
    <t>The Old Guard 2</t>
  </si>
  <si>
    <t>Peak Everything</t>
  </si>
  <si>
    <t>Anne Émond</t>
  </si>
  <si>
    <t>Queens of the Dead</t>
  </si>
  <si>
    <t>Tina Romero</t>
  </si>
  <si>
    <t>Red Sonja</t>
  </si>
  <si>
    <t>M. J. Bassett</t>
  </si>
  <si>
    <t>Sound of Falling</t>
  </si>
  <si>
    <t>Mascha Schilinski</t>
  </si>
  <si>
    <t>The Testament of Ann Lee</t>
  </si>
  <si>
    <t>Three Goodbyes</t>
  </si>
  <si>
    <t>Isabel Coixet</t>
  </si>
  <si>
    <t>Unidentified</t>
  </si>
  <si>
    <t>The Virgin of the Quarry Lake</t>
  </si>
  <si>
    <t>Laura Casabé</t>
  </si>
  <si>
    <t>Winter of the Crow</t>
  </si>
  <si>
    <t>Date</t>
  </si>
  <si>
    <t>Notes</t>
  </si>
  <si>
    <t>one of the first narrative (fiction) films[citation needed]</t>
  </si>
  <si>
    <t>first western directed by a woman[citation needed]</t>
  </si>
  <si>
    <t>the first full-length feature film directed by a woman[citation needed]</t>
  </si>
  <si>
    <t>often cited as one of the first feminist feature films[by whom?]</t>
  </si>
  <si>
    <t>first female Chinese director[1]</t>
  </si>
  <si>
    <t>first female Indian director[2]</t>
  </si>
  <si>
    <t>first female Japanese director[3]</t>
  </si>
  <si>
    <t>the first time a woman was nominated for an Academy Award for directing a feature film[citation needed]</t>
  </si>
  <si>
    <t>(ZDF TV) feature film/documentary fiction on domestic violence</t>
  </si>
  <si>
    <t>a feminist pseudo-documentary which deconstructs the conventions of Direct Cinema</t>
  </si>
  <si>
    <t>originally released in 1981 but banned in Poland until 1987[4]</t>
  </si>
  <si>
    <t>first woman to win a Golden Globe for direction[citation needed]</t>
  </si>
  <si>
    <t>Academy Award for best foreign film, the first time awarded to a female film director[citation needed]</t>
  </si>
  <si>
    <t>first feature film to premiere on the Internet[5]</t>
  </si>
  <si>
    <t>the third time a woman was nominated for an Academy Award for directing[citation needed]</t>
  </si>
  <si>
    <t>the first woman to win an Academy Award for directing[citation needed]</t>
  </si>
  <si>
    <t>first female Saudi Arabian director[citation needed]</t>
  </si>
  <si>
    <t>1896 La fée aux choux [fr]</t>
  </si>
  <si>
    <t>director: Alice Guy-Blaché</t>
  </si>
  <si>
    <t>1912 Algie the Miner</t>
  </si>
  <si>
    <t>1914 The Merchant of Venice (lost film as of 2025)</t>
  </si>
  <si>
    <t>director: Lois Weber</t>
  </si>
  <si>
    <t>1915 An Argentine Romance (Un Romance Argentino)</t>
  </si>
  <si>
    <t>director: Angélica Jovita García</t>
  </si>
  <si>
    <t>1915 The Hypocrites</t>
  </si>
  <si>
    <t>1915 Sempre Avanti, Savoia!</t>
  </si>
  <si>
    <t>director: Elvira Notari</t>
  </si>
  <si>
    <t>1916 The Devil's Prize</t>
  </si>
  <si>
    <t>director: Marguerite Bertsch</t>
  </si>
  <si>
    <t>1916 Miss Peasant (lost film as of 2025)</t>
  </si>
  <si>
    <t>director: Olga Preobrazhenskaya</t>
  </si>
  <si>
    <t>1916 Shoes</t>
  </si>
  <si>
    <t>1917 '49–'17</t>
  </si>
  <si>
    <t>director: Ruth Ann Baldwin</t>
  </si>
  <si>
    <t>1917 Even As You and I</t>
  </si>
  <si>
    <t>1917 The Glory of Yolanda</t>
  </si>
  <si>
    <t>1917 The Mysterious Mrs. M</t>
  </si>
  <si>
    <t>1917 A Wife on Trial</t>
  </si>
  <si>
    <t>1920 Remodeling Her Husband</t>
  </si>
  <si>
    <t>director: Lillian Gish</t>
  </si>
  <si>
    <t>1920 To Please One Woman</t>
  </si>
  <si>
    <t>1921 The Blot</t>
  </si>
  <si>
    <t>1921 Flor de España o la Leyenda de un Torero</t>
  </si>
  <si>
    <t>director: Helena Cortesina</t>
  </si>
  <si>
    <t>1921 The Good-Bad Wife</t>
  </si>
  <si>
    <t>director: Vera McCord</t>
  </si>
  <si>
    <t>1921 Just Around the Corner</t>
  </si>
  <si>
    <t>director: Frances Marion</t>
  </si>
  <si>
    <t>1921 The Love Light</t>
  </si>
  <si>
    <t>1921 Too Wise Wives</t>
  </si>
  <si>
    <t>1921 What Do Men Want?</t>
  </si>
  <si>
    <t>1921 What's Worth While?</t>
  </si>
  <si>
    <t>1922 The Smiling Madame Beudet (La Souriante Madame Beudet)</t>
  </si>
  <si>
    <t>director: Germaine Dulac</t>
  </si>
  <si>
    <t>1923 Salomé</t>
  </si>
  <si>
    <t>director: Alla Nazimova</t>
  </si>
  <si>
    <t>1923 The Song of Love</t>
  </si>
  <si>
    <t>1925 An Orphan's Cry (孤雏悲声)</t>
  </si>
  <si>
    <t>director: Xie Caizhen</t>
  </si>
  <si>
    <t>1926 The Adventures of Prince Achmed</t>
  </si>
  <si>
    <t>director: Lotte Reiniger</t>
  </si>
  <si>
    <t>1926 Bulbul-e-Paristan</t>
  </si>
  <si>
    <t>director: Fatma Begum</t>
  </si>
  <si>
    <t>1926 The Marriage Clause</t>
  </si>
  <si>
    <t>1927 The Angel of Broadway</t>
  </si>
  <si>
    <t>1927 The Fall of the Romanov Dynasty</t>
  </si>
  <si>
    <t>director: Esfir Shub</t>
  </si>
  <si>
    <t>1927 Fashions for Women</t>
  </si>
  <si>
    <t>director: Dorothy Arzner</t>
  </si>
  <si>
    <t>1927 Get Your Man</t>
  </si>
  <si>
    <t>1927 Goddess of Love</t>
  </si>
  <si>
    <t>1927 Laila</t>
  </si>
  <si>
    <t>director: Aziza Amir</t>
  </si>
  <si>
    <t>1927 Sensation Seekers</t>
  </si>
  <si>
    <t>1927 Ten Modern Commandments</t>
  </si>
  <si>
    <t>1927 Women of Ryazan</t>
  </si>
  <si>
    <t>1928 Chandravali</t>
  </si>
  <si>
    <t>1928 Heer Ranjha</t>
  </si>
  <si>
    <t>1928 Manhattan Cocktail</t>
  </si>
  <si>
    <t>1928 The Seashell and the Clergyman</t>
  </si>
  <si>
    <t>1929 The Wild Party</t>
  </si>
  <si>
    <t>1930 Anybody's Woman</t>
  </si>
  <si>
    <t>1930 Sarah and Son</t>
  </si>
  <si>
    <t>1931 Mädchen in Uniform (Girls in uniform)</t>
  </si>
  <si>
    <t>director: Leontine Sagan</t>
  </si>
  <si>
    <t>1931 The Mystery of the Black Domino (O Mistério do Dominó Preto)</t>
  </si>
  <si>
    <t>director: Cléo de Verberena</t>
  </si>
  <si>
    <t>1931 Honor Among Lovers</t>
  </si>
  <si>
    <t>1931 Working Girls</t>
  </si>
  <si>
    <t>1932 The Blue Light (Das blaue Licht))</t>
  </si>
  <si>
    <t>director: Leni Riefenstahl</t>
  </si>
  <si>
    <t>1932 Merrily We Go to Hell</t>
  </si>
  <si>
    <t>1933 Christopher Strong</t>
  </si>
  <si>
    <t>1934 Nana</t>
  </si>
  <si>
    <t>1935 Robin Hood (animated film)</t>
  </si>
  <si>
    <t>director: Joy Batchelor</t>
  </si>
  <si>
    <t>1935 Triumph of the Will (Triumph des Willens)</t>
  </si>
  <si>
    <t>1936 Craig's Wife</t>
  </si>
  <si>
    <t>1936 New Clothing (Hatsu Sugata)</t>
  </si>
  <si>
    <t>director: Tazuko Sakane</t>
  </si>
  <si>
    <t>1936 Onnenpotku</t>
  </si>
  <si>
    <t>director: Glory Leppänen</t>
  </si>
  <si>
    <t>1937 The Bride Wore Red</t>
  </si>
  <si>
    <t>1938 Olympia (1938 film)</t>
  </si>
  <si>
    <t>1940 Dance, Girl, Dance</t>
  </si>
  <si>
    <t>1942 Derailed (Afsporet)</t>
  </si>
  <si>
    <t>director: Bodil Ipsen</t>
  </si>
  <si>
    <t>1943 Meshes of the Afternoon</t>
  </si>
  <si>
    <t>director: Maya Deren</t>
  </si>
  <si>
    <t>1943 First Comes Courage</t>
  </si>
  <si>
    <t>1944 At Land</t>
  </si>
  <si>
    <t>1944 Melody of Murder (Mordets Melodi))</t>
  </si>
  <si>
    <t>1944 Possession (Besættelse)</t>
  </si>
  <si>
    <t>1944 Woman is the Wild Card</t>
  </si>
  <si>
    <t>director: Ansa Ikonen</t>
  </si>
  <si>
    <t>1945 Três Dias Sem Deus</t>
  </si>
  <si>
    <t>director: Bárbara Virgínia</t>
  </si>
  <si>
    <t>1946 Ritual in Transfigured Time</t>
  </si>
  <si>
    <t>1947 Wedding Night (Bröllopsnatten))</t>
  </si>
  <si>
    <t>1949 Fedakar Ana</t>
  </si>
  <si>
    <t>director: Cahide Sonku</t>
  </si>
  <si>
    <t>1949 Gigi</t>
  </si>
  <si>
    <t>director: Jacqueline Audry</t>
  </si>
  <si>
    <t>1949 The Lost People</t>
  </si>
  <si>
    <t>director: Muriel Box</t>
  </si>
  <si>
    <t>1949 Not Wanted</t>
  </si>
  <si>
    <t>director: Ida Lupino</t>
  </si>
  <si>
    <t>1949 Never Fear</t>
  </si>
  <si>
    <t>1950 Outrage</t>
  </si>
  <si>
    <t>1951 Hard, Fast and Beautiful</t>
  </si>
  <si>
    <t>1951 Olivia</t>
  </si>
  <si>
    <t>1951 Streetwalker</t>
  </si>
  <si>
    <t>director: Matilde Landeta</t>
  </si>
  <si>
    <t>1952 The Happy Family</t>
  </si>
  <si>
    <t>1953 The Bigamist</t>
  </si>
  <si>
    <t>1953 The Hitch-Hiker</t>
  </si>
  <si>
    <t>1953 Street Corner</t>
  </si>
  <si>
    <t>1954 Animal Farm</t>
  </si>
  <si>
    <t>co-director: Joy Batchelor</t>
  </si>
  <si>
    <t>1955 The Eternal Breasts</t>
  </si>
  <si>
    <t>director: Kinuyo Tanaka</t>
  </si>
  <si>
    <t>1955 La Pointe Courte</t>
  </si>
  <si>
    <t>director: Agnès Varda</t>
  </si>
  <si>
    <t>1957 Life Flows Quietly By...</t>
  </si>
  <si>
    <t>director: Binka Zhelyazkova</t>
  </si>
  <si>
    <t>1959 Bridges Go-Round</t>
  </si>
  <si>
    <t>director: Shirley Clarke</t>
  </si>
  <si>
    <t>1961 Cléo from 5 to 7 (Cléo de 5 à 7)</t>
  </si>
  <si>
    <t>1961 The Connection</t>
  </si>
  <si>
    <t>1961 The Golden Calf</t>
  </si>
  <si>
    <t>director: Ritva Arvelo</t>
  </si>
  <si>
    <t>1962 Les Petits Matins</t>
  </si>
  <si>
    <t>1963 El Camino</t>
  </si>
  <si>
    <t>director: Ana Mariscal</t>
  </si>
  <si>
    <t>1963 The House is Black</t>
  </si>
  <si>
    <t>director: Forough Farrokhzad</t>
  </si>
  <si>
    <t>1963 The Lizards</t>
  </si>
  <si>
    <t>director: Lina Wertmüller</t>
  </si>
  <si>
    <t>1964 The Cool World</t>
  </si>
  <si>
    <t>1964 Älskande par (Loving Couples)</t>
  </si>
  <si>
    <t>director: Mai Zetterling</t>
  </si>
  <si>
    <t>1965 Le Bonheur</t>
  </si>
  <si>
    <t>director: Agnes Varda</t>
  </si>
  <si>
    <t>1965 The East is Red</t>
  </si>
  <si>
    <t>director: Wang Ping</t>
  </si>
  <si>
    <t>1965 Let's Talk About Shafei (Questa Volta Parliamo di Uomini)</t>
  </si>
  <si>
    <t>1966 Blood Bath</t>
  </si>
  <si>
    <t>director: Stephanie Rothman</t>
  </si>
  <si>
    <t>1966 Daisies (Sedmikrasky)</t>
  </si>
  <si>
    <t>director: Věra Chytilová</t>
  </si>
  <si>
    <t>1966 Night Games (Nattlek)</t>
  </si>
  <si>
    <t>1966 Rita the Mosquito</t>
  </si>
  <si>
    <t>1966 Wings</t>
  </si>
  <si>
    <t>director: Larissa Shepitko</t>
  </si>
  <si>
    <t>1967 Brief Encounters</t>
  </si>
  <si>
    <t>director: Kira Muratova</t>
  </si>
  <si>
    <t>1967 Don't Sting the Mosquito</t>
  </si>
  <si>
    <t>1967 Portrait of Jason</t>
  </si>
  <si>
    <t>1968 The Belle Starr Story</t>
  </si>
  <si>
    <t>1968 Doctor Glas</t>
  </si>
  <si>
    <t>1968 The Girls (Flickorna)</t>
  </si>
  <si>
    <t>1968 Rat Life and Diet in North America</t>
  </si>
  <si>
    <t>director: Joyce Wieland</t>
  </si>
  <si>
    <t>1969 A Very Curious Girl (La Fiancée du Pirate)</t>
  </si>
  <si>
    <t>director: Nelly Kaplan</t>
  </si>
  <si>
    <t>1969 The Year of the Cannibals</t>
  </si>
  <si>
    <t>director: Liliana Cavani</t>
  </si>
  <si>
    <t>1970 The Dark Side of Tomorrow</t>
  </si>
  <si>
    <t>director: Barbara Peeters</t>
  </si>
  <si>
    <t>1970 Wanda</t>
  </si>
  <si>
    <t>director: Barbara Loden</t>
  </si>
  <si>
    <t>1971 Bury Me an Angel</t>
  </si>
  <si>
    <t>1971 For Women: Chapter 1 (Für Frauen: 1. Kapitel)</t>
  </si>
  <si>
    <t>director: Cristina Perincioli</t>
  </si>
  <si>
    <t>1971 The Guest (L'ospite)</t>
  </si>
  <si>
    <t>1971 The Long Farewell</t>
  </si>
  <si>
    <t>1971 A New Leaf</t>
  </si>
  <si>
    <t>director: Elaine May</t>
  </si>
  <si>
    <t>1971 The Woman's Film</t>
  </si>
  <si>
    <t>directors: Louise Alaimo, Judy Smith</t>
  </si>
  <si>
    <t>1972 The Heartbreak Kid</t>
  </si>
  <si>
    <t>1972 The Other Side of the Underneath</t>
  </si>
  <si>
    <t>director: Jane Arden</t>
  </si>
  <si>
    <t>1972 Sambizanga</t>
  </si>
  <si>
    <t>director: Sarah Maldoror</t>
  </si>
  <si>
    <t>1972 The Seduction of Mimi</t>
  </si>
  <si>
    <t>1972 Es kommt darauf an, sie zu verändern</t>
  </si>
  <si>
    <t>director: Claudia von Alemann</t>
  </si>
  <si>
    <t>1973 Milarepa</t>
  </si>
  <si>
    <t>1974 The Hour of Liberation Has Arrived</t>
  </si>
  <si>
    <t>director: Heiny Srour</t>
  </si>
  <si>
    <t>1974 I, You, He, She (Je Tu Il Elle)</t>
  </si>
  <si>
    <t>director: Chantal Akerman</t>
  </si>
  <si>
    <t>1974 The Night Porter (Il Portiere di Notte)</t>
  </si>
  <si>
    <t>1974 Summer School Teachers</t>
  </si>
  <si>
    <t>1975 Anna und Edith</t>
  </si>
  <si>
    <t>director: Gerrit Neuhaus</t>
  </si>
  <si>
    <t>writers are women</t>
  </si>
  <si>
    <t>1975 Catherine &amp; Co.</t>
  </si>
  <si>
    <t>director: Catherine Breillat</t>
  </si>
  <si>
    <t>1975 Hester Street</t>
  </si>
  <si>
    <t>director: Joan Micklin Silver</t>
  </si>
  <si>
    <t>1975 Letter from My Village (Kaddy Bekat – Lettre Paysanne)</t>
  </si>
  <si>
    <t>director: Safi Faye</t>
  </si>
  <si>
    <t>1975 The Lost Honor of Katharina Blum (Die Verlorene Ehre der Katharina Blum oder: Wie Gewalt entstehen und wohin sie führen kann)</t>
  </si>
  <si>
    <t>directors: Margarethe von Trotta and Volker Schlöndorff</t>
  </si>
  <si>
    <t>1975 The Other Half of the Sky: A China Memoir</t>
  </si>
  <si>
    <t>directors: Shirley MacLaine, Claudia Weill</t>
  </si>
  <si>
    <t>1975 Seven Beauties (Pasqualino settebellezze)</t>
  </si>
  <si>
    <t>1976 Harlan County, USA</t>
  </si>
  <si>
    <t>director: Barbara Kopple</t>
  </si>
  <si>
    <t>1976 Jeanne Dielman</t>
  </si>
  <si>
    <t>1976 Mikey and Nicky</t>
  </si>
  <si>
    <t>1976 Not a Pretty Picture</t>
  </si>
  <si>
    <t>director: Martha Coolidge</t>
  </si>
  <si>
    <t>1976 A Real Young Girl</t>
  </si>
  <si>
    <t>1977 The Ascent</t>
  </si>
  <si>
    <t>1977 Beyond Good and Evil</t>
  </si>
  <si>
    <t>1977 First Love</t>
  </si>
  <si>
    <t>director: Joan Darling</t>
  </si>
  <si>
    <t>1977 News from Home</t>
  </si>
  <si>
    <t>1977 One Sings, the Other Doesn't</t>
  </si>
  <si>
    <t>1977 Les Rendez-vous d'Anna</t>
  </si>
  <si>
    <t>1977 Starhops</t>
  </si>
  <si>
    <t>1978 But what do they want, after all? (Mais qu'est ce qu'elles veulent?)</t>
  </si>
  <si>
    <t>director: Coline Serreau</t>
  </si>
  <si>
    <t>1978 The All-Around Reduced Personality – Outtakes [de] (Die allseitig reduzierte Persönlichkeit – Redupers)</t>
  </si>
  <si>
    <t>director: Helke Sander</t>
  </si>
  <si>
    <t>1978 Getting to Know the Big, Wide World</t>
  </si>
  <si>
    <t>1978 Girlfriends</t>
  </si>
  <si>
    <t>director: Claudia Weill</t>
  </si>
  <si>
    <t>1978 The Mafu Cage</t>
  </si>
  <si>
    <t>director: Karen Arthur</t>
  </si>
  <si>
    <t>1978 The Power of Men is the Patience of Women [de] (Die Macht der Männer ist die Geduld der Frauen)</t>
  </si>
  <si>
    <t>writer and producer</t>
  </si>
  <si>
    <t>1978 Rabbit Test</t>
  </si>
  <si>
    <t>director: Joan Rivers</t>
  </si>
  <si>
    <t>1979 Anti-Clock</t>
  </si>
  <si>
    <t>co-director: Jane Arden</t>
  </si>
  <si>
    <t>writer</t>
  </si>
  <si>
    <t>1979 Daughter Rite</t>
  </si>
  <si>
    <t>director: Michelle Citron</t>
  </si>
  <si>
    <t>1979 Germany Pale Mother (Deutschland bleiche Mutter)</t>
  </si>
  <si>
    <t>director: Helma Sanders-Brahms</t>
  </si>
  <si>
    <t>1979 Provincial Actors (Aktorzy prowincjonalni)</t>
  </si>
  <si>
    <t>director: Agnieszka Holland</t>
  </si>
  <si>
    <t>1979 My Brilliant Career</t>
  </si>
  <si>
    <t>director: Gillian Armstrong</t>
  </si>
  <si>
    <t>1979 Ticket of No Return (Bildnis einer Trinkerin)</t>
  </si>
  <si>
    <t>director: Ulrike Ottinger</t>
  </si>
  <si>
    <t>1980 Can't Stop the Music</t>
  </si>
  <si>
    <t>director: Nancy Walker</t>
  </si>
  <si>
    <t>1980 Fatso</t>
  </si>
  <si>
    <t>director: Anne Bancroft</t>
  </si>
  <si>
    <t>1980 The Godsend</t>
  </si>
  <si>
    <t>director: Gabrielle Beaumont</t>
  </si>
  <si>
    <t>1980 Humanoids from the Deep</t>
  </si>
  <si>
    <t>1980 It's My Turn</t>
  </si>
  <si>
    <t>1980 The Life and Times of Rosie the Riveter</t>
  </si>
  <si>
    <t>director: Connie Field</t>
  </si>
  <si>
    <t>1980 Sparsh</t>
  </si>
  <si>
    <t>director: Sai Paranjpye</t>
  </si>
  <si>
    <t>1981 36 Chowringhee Lane</t>
  </si>
  <si>
    <t>director: Aparna Sen</t>
  </si>
  <si>
    <t>1981 Death of a Centerfold</t>
  </si>
  <si>
    <t>1981 The Decline of Western Civilization</t>
  </si>
  <si>
    <t>director: Penelope Spheeris</t>
  </si>
  <si>
    <t>1981 Eight Minutes to Midnight: A Portrait of Dr. Helen Caldicott</t>
  </si>
  <si>
    <t>director: Mary Benjamin</t>
  </si>
  <si>
    <t>1981 Fever (Gorączka)</t>
  </si>
  <si>
    <t>1981 The German Sisters</t>
  </si>
  <si>
    <t>director: Margarethe von Trotta</t>
  </si>
  <si>
    <t>1981 A Lonely Woman (Kobieta samotna)</t>
  </si>
  <si>
    <t>1981 The Skin (La Pelle)</t>
  </si>
  <si>
    <t>1982 All Night Long (Toute une nuit)</t>
  </si>
  <si>
    <t>1982 Beyond the Door (Oltre la Porta)</t>
  </si>
  <si>
    <t>1982 Fast Times at Ridgemont High</t>
  </si>
  <si>
    <t>director: Amy Heckerling</t>
  </si>
  <si>
    <t>1982 Grease 2</t>
  </si>
  <si>
    <t>director: Patricia Birch</t>
  </si>
  <si>
    <t>1982 Starstruck</t>
  </si>
  <si>
    <t>1983 Among Grey Stones</t>
  </si>
  <si>
    <t>1983 Born in Flames</t>
  </si>
  <si>
    <t>director: Lizzie Borden</t>
  </si>
  <si>
    <t>1983 The Gold Diggers</t>
  </si>
  <si>
    <t>director: Sally Potter</t>
  </si>
  <si>
    <t>1983 Valley Girl</t>
  </si>
  <si>
    <t>1983 Variety</t>
  </si>
  <si>
    <t>director: Bette Gordon</t>
  </si>
  <si>
    <t>1983 Yentl</t>
  </si>
  <si>
    <t>director: Barbra Streisand</t>
  </si>
  <si>
    <t>1984 Joy of Sex</t>
  </si>
  <si>
    <t>1984 Mrs. Soffel</t>
  </si>
  <si>
    <t>1985 Angry Harvest (Bittere Ernte)</t>
  </si>
  <si>
    <t>1985 The Berlin Affair</t>
  </si>
  <si>
    <t>1985 Desert Hearts</t>
  </si>
  <si>
    <t>director: Donna Deitch</t>
  </si>
  <si>
    <t>1985 Desperately Seeking Susan</t>
  </si>
  <si>
    <t>director: Susan Seidelman</t>
  </si>
  <si>
    <t>1985 Real Genius</t>
  </si>
  <si>
    <t>1985 Seduction: The Cruel Woman (Verführung: die grausame Frau)</t>
  </si>
  <si>
    <t>director: Elfi Mikesch, Monika Treut</t>
  </si>
  <si>
    <t>1985 Smooth Talk</t>
  </si>
  <si>
    <t>director: Joyce Chopra</t>
  </si>
  <si>
    <t>1985 Vagabond</t>
  </si>
  <si>
    <t>1986 Children of a Lesser God</t>
  </si>
  <si>
    <t>director: Randa Haines</t>
  </si>
  <si>
    <t>1986 Golden Eighties</t>
  </si>
  <si>
    <t>1986 Jumpin' Jack Flash (film)</t>
  </si>
  <si>
    <t>director: Penny Marshall</t>
  </si>
  <si>
    <t>1986 Working Girls</t>
  </si>
  <si>
    <t>1987 He's My Girl</t>
  </si>
  <si>
    <t>1987 High Tide</t>
  </si>
  <si>
    <t>1987 Ishtar</t>
  </si>
  <si>
    <t>1987 Near Dark</t>
  </si>
  <si>
    <t>director: Kathryn Bigelow</t>
  </si>
  <si>
    <t>1988 36 Fillette</t>
  </si>
  <si>
    <t>1988 Agnes Escapes from the Nursing Home</t>
  </si>
  <si>
    <t>director: Eileen O'Meara</t>
  </si>
  <si>
    <t>1988 Big</t>
  </si>
  <si>
    <t>1988 Chocolat</t>
  </si>
  <si>
    <t>director: Claire Denis</t>
  </si>
  <si>
    <t>1988 Kalih Films (Kali-Filme)</t>
  </si>
  <si>
    <t>director: Birgit Hein and Wilhelm Hein</t>
  </si>
  <si>
    <t>1988 Little Dorrit</t>
  </si>
  <si>
    <t>director: Christine Edzard</t>
  </si>
  <si>
    <t>1988 Love, Women, and Flowers (Amor, Mujeres, y Flores)</t>
  </si>
  <si>
    <t>director: Marta Rodriguez and Jorge Silva</t>
  </si>
  <si>
    <t>1988 Plain Clothes</t>
  </si>
  <si>
    <t>1988 Salaam Bombay!</t>
  </si>
  <si>
    <t>director: Mira Nair</t>
  </si>
  <si>
    <t>1988 To Kill a Priest</t>
  </si>
  <si>
    <t>1988 Virgin Machine (Die Jungfrauenmaschine)</t>
  </si>
  <si>
    <t>director: Monika Treut</t>
  </si>
  <si>
    <t>1989 American Stories: Food, Family and Philosophy (Histoires d'Amérique)</t>
  </si>
  <si>
    <t>1989 The Asthenic Syndrome</t>
  </si>
  <si>
    <t>1989 A Dry White Season</t>
  </si>
  <si>
    <t>director: Euzhan Palcy</t>
  </si>
  <si>
    <t>1989 Francesco</t>
  </si>
  <si>
    <t>1989 Pet Sematary</t>
  </si>
  <si>
    <t>director: Mary Lambert</t>
  </si>
  <si>
    <t>1989 Sweetie</t>
  </si>
  <si>
    <t>director: Jane Campion</t>
  </si>
  <si>
    <t>1990 An Angel at My Table</t>
  </si>
  <si>
    <t>1990 Europa, Europa</t>
  </si>
  <si>
    <t>1990 The Lemon Sisters</t>
  </si>
  <si>
    <t>1990 No Fear, No Die</t>
  </si>
  <si>
    <t>1990 Paris is Burning</t>
  </si>
  <si>
    <t>director: Jennie Livingston</t>
  </si>
  <si>
    <t>1991 American Dream</t>
  </si>
  <si>
    <t>1991 Danzón</t>
  </si>
  <si>
    <t>director: Maria Novaro</t>
  </si>
  <si>
    <t>1991 Daughters of the Dust</t>
  </si>
  <si>
    <t>director: Julie Dash</t>
  </si>
  <si>
    <t>1991 Fires Within</t>
  </si>
  <si>
    <t>1991 Night and Day (Nuit et Jour)</t>
  </si>
  <si>
    <t>1991 A Place of Rage</t>
  </si>
  <si>
    <t>director: Pratibha Parmar</t>
  </si>
  <si>
    <t>1991 Point Break</t>
  </si>
  <si>
    <t>1991 The Prince of Tides</t>
  </si>
  <si>
    <t>1991 Proof</t>
  </si>
  <si>
    <t>director: Jocelyn Moorhouse</t>
  </si>
  <si>
    <t>1991 Rambling Rose</t>
  </si>
  <si>
    <t>1991 Thousand Pieces of Gold</t>
  </si>
  <si>
    <t>director: Nancy Kelly</t>
  </si>
  <si>
    <t>1992 Gas Food Lodging</t>
  </si>
  <si>
    <t>director: Allison Anders</t>
  </si>
  <si>
    <t>1992 History and Memory: For Akiko and Takashige</t>
  </si>
  <si>
    <t>director: Rea Tajiri</t>
  </si>
  <si>
    <t>1992 The Last Days of Chez Nous</t>
  </si>
  <si>
    <t>1992 A League of Their Own</t>
  </si>
  <si>
    <t>1992 Little Noises</t>
  </si>
  <si>
    <t>director: Jane Spencer</t>
  </si>
  <si>
    <t>1992 Olivier, Olivier</t>
  </si>
  <si>
    <t>1992 Orlando</t>
  </si>
  <si>
    <t>1992 Seeing Red</t>
  </si>
  <si>
    <t>director: Virginia Rouse</t>
  </si>
  <si>
    <t>1992 Wayne's World</t>
  </si>
  <si>
    <t>1993 Bhaji on the Beach</t>
  </si>
  <si>
    <t>director: Gurinder Chadha</t>
  </si>
  <si>
    <t>1993 Lost in Yonkers</t>
  </si>
  <si>
    <t>1993 The Secret Garden</t>
  </si>
  <si>
    <t>1993 Sleepless in Seattle</t>
  </si>
  <si>
    <t>director: Nora Ephron</t>
  </si>
  <si>
    <t>1993 Where Are You? I'm Here (Dove Siete? Io Sono Qui)</t>
  </si>
  <si>
    <t>1994 Angie</t>
  </si>
  <si>
    <t>1994 Black Beauty</t>
  </si>
  <si>
    <t>director: Caroline Thompson</t>
  </si>
  <si>
    <t>1994 Complaints of a Dutiful Daughter</t>
  </si>
  <si>
    <t>director: Deborah Hoffmann</t>
  </si>
  <si>
    <t>1994 I Can't Sleep</t>
  </si>
  <si>
    <t>1994 Little Women</t>
  </si>
  <si>
    <t>1994 Mi Vida Loca</t>
  </si>
  <si>
    <t>1994 The Piano</t>
  </si>
  <si>
    <t>1994 River of Grass</t>
  </si>
  <si>
    <t>director: Kelly Reichardt</t>
  </si>
  <si>
    <t>1995 Antonia's Line</t>
  </si>
  <si>
    <t>director: Marleen Gorris</t>
  </si>
  <si>
    <t>1995 At all costs (Coûte que coûte)</t>
  </si>
  <si>
    <t>director: Claire Simon</t>
  </si>
  <si>
    <t>1995 Billy Madison</t>
  </si>
  <si>
    <t>director: Tamra Davis</t>
  </si>
  <si>
    <t>1995 Clueless</t>
  </si>
  <si>
    <t>1995 Party Girl</t>
  </si>
  <si>
    <t>director: Daisy von Scherler Mayer</t>
  </si>
  <si>
    <t>1995 Strange Days</t>
  </si>
  <si>
    <t>1995 Three Wishes</t>
  </si>
  <si>
    <t>1995 Total Eclipse</t>
  </si>
  <si>
    <t>1996 A Couch in New York (Un divan à New York)</t>
  </si>
  <si>
    <t>1996 Fire</t>
  </si>
  <si>
    <t>director: Deepa Mehta</t>
  </si>
  <si>
    <t>1996 Foxfire</t>
  </si>
  <si>
    <t>director: Annette Haywood-Carter</t>
  </si>
  <si>
    <t>1996 I Shot Andy Warhol</t>
  </si>
  <si>
    <t>director: Mary Harron</t>
  </si>
  <si>
    <t>1996 The Mirror Has Two Faces</t>
  </si>
  <si>
    <t>1996 Nénette and Boni</t>
  </si>
  <si>
    <t>1996 The Portrait of a Lady</t>
  </si>
  <si>
    <t>1996 Unstrung Heroes</t>
  </si>
  <si>
    <t>director: Diane Keaton</t>
  </si>
  <si>
    <t>1996 White Men Are Cracking Up</t>
  </si>
  <si>
    <t>director: Ngozi Onwurah</t>
  </si>
  <si>
    <t>1997 Oscar and Lucinda</t>
  </si>
  <si>
    <t>1997 Out to Sea</t>
  </si>
  <si>
    <t>1997 The Peacemaker</t>
  </si>
  <si>
    <t>director: Mimi Leder</t>
  </si>
  <si>
    <t>1997 Strawberry Fields</t>
  </si>
  <si>
    <t>1997 The Tango Lesson</t>
  </si>
  <si>
    <t>1997 Washington Square</t>
  </si>
  <si>
    <t>1998 Deep Impact</t>
  </si>
  <si>
    <t>1998 Free Tibet</t>
  </si>
  <si>
    <t>director: Sarah Pirozek</t>
  </si>
  <si>
    <t>1998 Half Baked</t>
  </si>
  <si>
    <t>1998 High Art</t>
  </si>
  <si>
    <t>director: Lisa Cholodenko</t>
  </si>
  <si>
    <t>1998 Madeline</t>
  </si>
  <si>
    <t>1998 The Parent Trap</t>
  </si>
  <si>
    <t>director: Nancy Meyers</t>
  </si>
  <si>
    <t>1998 That Strange Person</t>
  </si>
  <si>
    <t>1998 Woo</t>
  </si>
  <si>
    <t>1999 Beau Travail</t>
  </si>
  <si>
    <t>1999 Boys Don't Cry</t>
  </si>
  <si>
    <t>director: Kimberly Peirce</t>
  </si>
  <si>
    <t>1999 But I'm a Cheerleader</t>
  </si>
  <si>
    <t>director: Jamie Babbit</t>
  </si>
  <si>
    <t>1999 The Green Elephant</t>
  </si>
  <si>
    <t>director: Svetlana Baskova</t>
  </si>
  <si>
    <t>1999 Holy Smoke!</t>
  </si>
  <si>
    <t>1999 Romance</t>
  </si>
  <si>
    <t>1999 The Third Miracle</t>
  </si>
  <si>
    <t>1999 Titus</t>
  </si>
  <si>
    <t>director: Julie Taymor</t>
  </si>
  <si>
    <t>1999 The Virgin Suicides</t>
  </si>
  <si>
    <t>director: Sophia Coppola</t>
  </si>
  <si>
    <t>2000 American Psycho</t>
  </si>
  <si>
    <t>2000 The Captive</t>
  </si>
  <si>
    <t>2000 Geography of Fear</t>
  </si>
  <si>
    <t>director: Auli Mantila</t>
  </si>
  <si>
    <t>2000 Girlfight</t>
  </si>
  <si>
    <t>director: Karyn Kusama</t>
  </si>
  <si>
    <t>2000 The Gleaners and I</t>
  </si>
  <si>
    <t>2000 Loser</t>
  </si>
  <si>
    <t>2000 Love &amp; Basketball</t>
  </si>
  <si>
    <t>director: Gina Prince-Bythewood</t>
  </si>
  <si>
    <t>2000 The Man Who Cried</t>
  </si>
  <si>
    <t>2000 Pay It Forward</t>
  </si>
  <si>
    <t>2000 Suspicious River</t>
  </si>
  <si>
    <t>director: Lynne Stopkewich</t>
  </si>
  <si>
    <t>2000 The Weight of Water</t>
  </si>
  <si>
    <t>2000 What Women Want</t>
  </si>
  <si>
    <t>2001 Brief Crossing</t>
  </si>
  <si>
    <t>2001 Charlotte Gray</t>
  </si>
  <si>
    <t>2001 La Ciénaga</t>
  </si>
  <si>
    <t>director: Lucrecia Martel</t>
  </si>
  <si>
    <t>2001 Fat Girl</t>
  </si>
  <si>
    <t>2001 Lovely &amp; Amazing</t>
  </si>
  <si>
    <t>director: Nicole Holofcener</t>
  </si>
  <si>
    <t>2001 Lovely Rita</t>
  </si>
  <si>
    <t>director: Jessica Hausner</t>
  </si>
  <si>
    <t>2001 Monsoon Wedding</t>
  </si>
  <si>
    <t>2001 Nowhere in Africa</t>
  </si>
  <si>
    <t>director: Caroline Link</t>
  </si>
  <si>
    <t>2001 Rain</t>
  </si>
  <si>
    <t>director: Christine Jeffs</t>
  </si>
  <si>
    <t>2001 Replay</t>
  </si>
  <si>
    <t>director: Catherine Corsini</t>
  </si>
  <si>
    <t>2001 Shrek</t>
  </si>
  <si>
    <t>co-director: Vicky Jenson</t>
  </si>
  <si>
    <t>2001 Trouble Every Day</t>
  </si>
  <si>
    <t>2002 Bark!</t>
  </si>
  <si>
    <t>director: Katarzyna Adamik</t>
  </si>
  <si>
    <t>2002 Bend It Like Beckham</t>
  </si>
  <si>
    <t>2002 Blue Car</t>
  </si>
  <si>
    <t>director: Karen Moncrieff</t>
  </si>
  <si>
    <t>2002 Divine Secrets of the Ya-Ya Sisterhood</t>
  </si>
  <si>
    <t>director: Callie Khouri</t>
  </si>
  <si>
    <t>2002 Five Bottles of Vodka</t>
  </si>
  <si>
    <t>2002 Frida</t>
  </si>
  <si>
    <t>2002 The Guru</t>
  </si>
  <si>
    <t>2002 Julie Walking Home</t>
  </si>
  <si>
    <t>2002 Laurel Canyon</t>
  </si>
  <si>
    <t>2002 Ripley's Game</t>
  </si>
  <si>
    <t>2002 Sex Is Comedy</t>
  </si>
  <si>
    <t>2002 Vendredi soir</t>
  </si>
  <si>
    <t>2002 Whale Rider</t>
  </si>
  <si>
    <t>director: Niki Caro</t>
  </si>
  <si>
    <t>2003 At Five in the Afternoon</t>
  </si>
  <si>
    <t>director: Samira Makhmalbaf</t>
  </si>
  <si>
    <t>2003 The Forest for the Trees</t>
  </si>
  <si>
    <t>director: Maren Ade</t>
  </si>
  <si>
    <t>2003 The Head</t>
  </si>
  <si>
    <t>2003 In the Cut</t>
  </si>
  <si>
    <t>2003 Lost in Translation</t>
  </si>
  <si>
    <t>director: Sofia Coppola</t>
  </si>
  <si>
    <t>2003 Monster</t>
  </si>
  <si>
    <t>director: Patty Jenkins</t>
  </si>
  <si>
    <t>2003 Nousukausi</t>
  </si>
  <si>
    <t>director: Johanna Vuoksenmaa</t>
  </si>
  <si>
    <t>2003 Something's Gotta Give</t>
  </si>
  <si>
    <t>2003 Sylvia</t>
  </si>
  <si>
    <t>2003 Take My Eyes</t>
  </si>
  <si>
    <t>director: Icíar Bollaín</t>
  </si>
  <si>
    <t>2003 Thirteen</t>
  </si>
  <si>
    <t>director: Catherine Hardwicke</t>
  </si>
  <si>
    <t>2003 The Very Merry Widows</t>
  </si>
  <si>
    <t>2003 Virgin</t>
  </si>
  <si>
    <t>director: Deborah Kampmeier</t>
  </si>
  <si>
    <t>2004 Anatomy of Hell</t>
  </si>
  <si>
    <t>2004 Bride and Prejudice</t>
  </si>
  <si>
    <t>2004 Cavedweller</t>
  </si>
  <si>
    <t>2004 Dear Frankie</t>
  </si>
  <si>
    <t>director: Shona Auerbach</t>
  </si>
  <si>
    <t>2004 D.E.B.S.</t>
  </si>
  <si>
    <t>director: Angela Robinson</t>
  </si>
  <si>
    <t>2004 Down to the Bone</t>
  </si>
  <si>
    <t>director: Debra Granik</t>
  </si>
  <si>
    <t>2004 Goddess: How I fell in Love</t>
  </si>
  <si>
    <t>director: Renata Litvinova</t>
  </si>
  <si>
    <t>2004 The Holy Girl</t>
  </si>
  <si>
    <t>2004 Hotel</t>
  </si>
  <si>
    <t>2004 The Intruder</t>
  </si>
  <si>
    <t>2004 Mars</t>
  </si>
  <si>
    <t>director: Anna Melikyan</t>
  </si>
  <si>
    <t>2004 The Prince &amp; Me</t>
  </si>
  <si>
    <t>2004 Somersault</t>
  </si>
  <si>
    <t>director: Cate Shortland</t>
  </si>
  <si>
    <t>2004 Speak</t>
  </si>
  <si>
    <t>director: Jessica Sharzer</t>
  </si>
  <si>
    <t>2004 Tomorrow We Move (Demain on déménage)</t>
  </si>
  <si>
    <t>2004 Vanity Fair</t>
  </si>
  <si>
    <t>2004 The Woodsman</t>
  </si>
  <si>
    <t>director: Nicole Kassell</t>
  </si>
  <si>
    <t>2004 Yes</t>
  </si>
  <si>
    <t>2005 Æon Flux</t>
  </si>
  <si>
    <t>2005 The Ballad of Jack and Rose</t>
  </si>
  <si>
    <t>director: Rebecca Miller</t>
  </si>
  <si>
    <t>2005 Born into Brothels</t>
  </si>
  <si>
    <t>director: Zana Briski, co-directed with Ross Kauffman</t>
  </si>
  <si>
    <t>2005 Close to Home</t>
  </si>
  <si>
    <t>director: Dalia Hager, Vidi Bilu</t>
  </si>
  <si>
    <t>2005 Herbie: Fully Loaded</t>
  </si>
  <si>
    <t>2005 Look Both Ways</t>
  </si>
  <si>
    <t>director: Sarah Watt</t>
  </si>
  <si>
    <t>2005 Lords of Dogtown</t>
  </si>
  <si>
    <t>2005 North Country</t>
  </si>
  <si>
    <t>2005 The Notorious Bettie Page</t>
  </si>
  <si>
    <t>2005 On a Clear Day</t>
  </si>
  <si>
    <t>director: Gaby Dellal</t>
  </si>
  <si>
    <t>2005 The Prize Winner of Defiance, Ohio</t>
  </si>
  <si>
    <t>director: Jane Anderson</t>
  </si>
  <si>
    <t>2005 Sisters of '77</t>
  </si>
  <si>
    <t>director: Cynthia Salzman Mondell co-directed with Allen Mondell</t>
  </si>
  <si>
    <t>2006 Away from Her</t>
  </si>
  <si>
    <t>director: Sarah Polley</t>
  </si>
  <si>
    <t>2006 Blood Tea and Red String</t>
  </si>
  <si>
    <t>director: Christiane Cegavske</t>
  </si>
  <si>
    <t>2006 Copying Beethoven</t>
  </si>
  <si>
    <t>2006 Day Night Day Night</t>
  </si>
  <si>
    <t>director: Julia Loktev</t>
  </si>
  <si>
    <t>2006 The Dead Girl</t>
  </si>
  <si>
    <t>2006 Diggers</t>
  </si>
  <si>
    <t>director: Katherine Dieckmann</t>
  </si>
  <si>
    <t>2006 Friends with Money</t>
  </si>
  <si>
    <t>2006 The Holiday</t>
  </si>
  <si>
    <t>2006 Marie Antoinette</t>
  </si>
  <si>
    <t>2006 Material Girls</t>
  </si>
  <si>
    <t>2006 Old Joy</t>
  </si>
  <si>
    <t>2006 Piter FM</t>
  </si>
  <si>
    <t>director: Oksana Bychkova</t>
  </si>
  <si>
    <t>2006 Red Road</t>
  </si>
  <si>
    <t>director: Andrea Arnold</t>
  </si>
  <si>
    <t>2006 Sherrybaby</t>
  </si>
  <si>
    <t>director: Laurie Collyer</t>
  </si>
  <si>
    <t>2006 Stick It</t>
  </si>
  <si>
    <t>director: Jessica Bendinger</t>
  </si>
  <si>
    <t>2007 Across the Universe</t>
  </si>
  <si>
    <t>2007 All Is Forgiven</t>
  </si>
  <si>
    <t>director: Mia Hansen-Løve</t>
  </si>
  <si>
    <t>2007 Death Defying Acts</t>
  </si>
  <si>
    <t>2007 Hounddog</t>
  </si>
  <si>
    <t>2007 I Could Never Be Your Woman</t>
  </si>
  <si>
    <t>2007 The Last Mistress</t>
  </si>
  <si>
    <t>2007 Mermaid</t>
  </si>
  <si>
    <t>2007 Never Forever</t>
  </si>
  <si>
    <t>director: Gina Kim</t>
  </si>
  <si>
    <t>2007 The Savages</t>
  </si>
  <si>
    <t>director: Tamara Jenkins</t>
  </si>
  <si>
    <t>2007 Things We Lost in the Fire</t>
  </si>
  <si>
    <t>director: Susanne Bier</t>
  </si>
  <si>
    <t>2007 Waitress</t>
  </si>
  <si>
    <t>director: Adrienne Shelly</t>
  </si>
  <si>
    <t>2007 Water Lilies</t>
  </si>
  <si>
    <t>director: Céline Sciamma</t>
  </si>
  <si>
    <t>2008 35 Shots of Rum</t>
  </si>
  <si>
    <t>2008 Angus, Thongs and Perfect Snogging</t>
  </si>
  <si>
    <t>2008 The Beaches of Agnes</t>
  </si>
  <si>
    <t>2008 Everybody Dies but Me</t>
  </si>
  <si>
    <t>director: Valeriya Gai Germanika</t>
  </si>
  <si>
    <t>2008 Frozen River</t>
  </si>
  <si>
    <t>director: Courtney Hunt</t>
  </si>
  <si>
    <t>2008 The Headless Woman</t>
  </si>
  <si>
    <t>2008 The Hurt Locker</t>
  </si>
  <si>
    <t>2008 Mamma Mia!</t>
  </si>
  <si>
    <t>director: Phyllida Lloyd</t>
  </si>
  <si>
    <t>2008 Ricky Rapper</t>
  </si>
  <si>
    <t>director: Mari Rantasila</t>
  </si>
  <si>
    <t>2008 Stop-Loss</t>
  </si>
  <si>
    <t>2008 Sunshine Cleaning</t>
  </si>
  <si>
    <t>2008 Surveillance</t>
  </si>
  <si>
    <t>director: Jennifer Lynch</t>
  </si>
  <si>
    <t>2008 Twilight</t>
  </si>
  <si>
    <t>2008 Wendy and Lucy</t>
  </si>
  <si>
    <t>2009 Amelia</t>
  </si>
  <si>
    <t>2009 Bluebeard</t>
  </si>
  <si>
    <t>2009 Bright Star</t>
  </si>
  <si>
    <t>2009 Cold Souls</t>
  </si>
  <si>
    <t>director: Sophie Barthes</t>
  </si>
  <si>
    <t>2009 An Education</t>
  </si>
  <si>
    <t>director: Lone Scherfig</t>
  </si>
  <si>
    <t>2009 Everyone Else</t>
  </si>
  <si>
    <t>2009 Father of My Children</t>
  </si>
  <si>
    <t>2009 Fish Tank</t>
  </si>
  <si>
    <t>2009 It's Complicated</t>
  </si>
  <si>
    <t>2009 Janosik: A True Story</t>
  </si>
  <si>
    <t>director: Agnieszka Holland and Kasia Adamik</t>
  </si>
  <si>
    <t>2009 Jennifer's Body</t>
  </si>
  <si>
    <t>2009 Julie &amp; Julia</t>
  </si>
  <si>
    <t>2009 Leaving</t>
  </si>
  <si>
    <t>2009 Lourdes</t>
  </si>
  <si>
    <t>2009 Motherhood</t>
  </si>
  <si>
    <t>2009 My Year Without Sex</t>
  </si>
  <si>
    <t>2009 One Foot Under</t>
  </si>
  <si>
    <t>2009 The Private Lives of Pippa Lee</t>
  </si>
  <si>
    <t>2009 Rage</t>
  </si>
  <si>
    <t>2009 Ricky Rapper and the Bicycle Thief</t>
  </si>
  <si>
    <t>2009 White Material</t>
  </si>
  <si>
    <t>2010 Denizen</t>
  </si>
  <si>
    <t>director: J.A. Steel</t>
  </si>
  <si>
    <t>2010 The Freebie</t>
  </si>
  <si>
    <t>director: Katie Aselton</t>
  </si>
  <si>
    <t>2010 The High Cost of Living</t>
  </si>
  <si>
    <t>director: Deborah Chow</t>
  </si>
  <si>
    <t>2010 I Will Follow</t>
  </si>
  <si>
    <t>director: Ava DuVernay</t>
  </si>
  <si>
    <t>2010 The Kids Are All Right</t>
  </si>
  <si>
    <t>2010 Nanny McPhee and the Big Bang</t>
  </si>
  <si>
    <t>director: Susanna White</t>
  </si>
  <si>
    <t>2010 Night Catches Us</t>
  </si>
  <si>
    <t>director: Tanya Hamilton</t>
  </si>
  <si>
    <t>2010 Please Give</t>
  </si>
  <si>
    <t>2010 The Runaways</t>
  </si>
  <si>
    <t>director: Floria Sigismondi</t>
  </si>
  <si>
    <t>2010 Somewhere</t>
  </si>
  <si>
    <t>2010 The Tempest</t>
  </si>
  <si>
    <t>2010 The Whistleblower</t>
  </si>
  <si>
    <t>director: Larysa Kondracki</t>
  </si>
  <si>
    <t>2010 Winter's Bone</t>
  </si>
  <si>
    <t>2011 A Little Bit of Heaven</t>
  </si>
  <si>
    <t>2011 Almayer's Folly (La Folie Almayer)</t>
  </si>
  <si>
    <t>2011 The Fatherless</t>
  </si>
  <si>
    <t>director: Marie Kreutzer</t>
  </si>
  <si>
    <t>2011 Goodbye First Love</t>
  </si>
  <si>
    <t>2011 Higher Ground</t>
  </si>
  <si>
    <t>director: Vera Farmiga</t>
  </si>
  <si>
    <t>2011 Hysteria</t>
  </si>
  <si>
    <t>director: Tanya Wexler</t>
  </si>
  <si>
    <t>2011 In Darkness (W ciemności)</t>
  </si>
  <si>
    <t>2011 In the Land of Blood and Honey</t>
  </si>
  <si>
    <t>director: Angelina Jolie</t>
  </si>
  <si>
    <t>2011 The Loneliest Planet</t>
  </si>
  <si>
    <t>2011 The Moth Diaries</t>
  </si>
  <si>
    <t>2011 The Off Hours</t>
  </si>
  <si>
    <t>director: Megan Griffiths</t>
  </si>
  <si>
    <t>2011 One Day</t>
  </si>
  <si>
    <t>2011 Pariah</t>
  </si>
  <si>
    <t>director: Dee Rees</t>
  </si>
  <si>
    <t>2011 Red Riding Hood</t>
  </si>
  <si>
    <t>2011 Return</t>
  </si>
  <si>
    <t>director: Liza Johnson</t>
  </si>
  <si>
    <t>2011 Sengadal</t>
  </si>
  <si>
    <t>director: Leena Manimekalai</t>
  </si>
  <si>
    <t>2011 The Storage</t>
  </si>
  <si>
    <t>director: Taru Mäkelä</t>
  </si>
  <si>
    <t>2011 Take This Waltz</t>
  </si>
  <si>
    <t>2011 Tomboy</t>
  </si>
  <si>
    <t>2011 Two Days</t>
  </si>
  <si>
    <t>director: Avdotya Smirnova</t>
  </si>
  <si>
    <t>2011 We Need to Talk About Kevin</t>
  </si>
  <si>
    <t>director: Lynne Ramsay</t>
  </si>
  <si>
    <t>2011 Wuthering Heights</t>
  </si>
  <si>
    <t>2011 Yelling to the Sky</t>
  </si>
  <si>
    <t>director: Victoria Mahoney</t>
  </si>
  <si>
    <t>2011 Your Sister's Sister</t>
  </si>
  <si>
    <t>director: Lynn Shelton</t>
  </si>
  <si>
    <t>2012 Black Rock</t>
  </si>
  <si>
    <t>2012 Breaking the Girls</t>
  </si>
  <si>
    <t>2012 Chained</t>
  </si>
  <si>
    <t>2012 Eden</t>
  </si>
  <si>
    <t>2012 Frenemies</t>
  </si>
  <si>
    <t>2012 Ginger &amp; Rosa</t>
  </si>
  <si>
    <t>2012 Kiss of the Damned</t>
  </si>
  <si>
    <t>director: Alexandra Cassavetes</t>
  </si>
  <si>
    <t>2012 Middle of Nowhere</t>
  </si>
  <si>
    <t>2012 The Reluctant Fundamentalist</t>
  </si>
  <si>
    <t>2012 Saving Face</t>
  </si>
  <si>
    <t>director: Sharmeen Obaid-Chinoy</t>
  </si>
  <si>
    <t>2012 Seeking a Friend for the End of the World</t>
  </si>
  <si>
    <t>director: Lorene Scafaria</t>
  </si>
  <si>
    <t>2012 Stories We Tell</t>
  </si>
  <si>
    <t>2012 Three World</t>
  </si>
  <si>
    <t>2012 Vamps</t>
  </si>
  <si>
    <t>2012 Wadjda</t>
  </si>
  <si>
    <t>director: Haifaa al-Mansour</t>
  </si>
  <si>
    <t>2012 Zero Dark Thirty</t>
  </si>
  <si>
    <t>2013 21 Ways to Ruin a Marriage</t>
  </si>
  <si>
    <t>2013 A Teacher</t>
  </si>
  <si>
    <t>director: Hannah Fidell</t>
  </si>
  <si>
    <t>2013 August Fools</t>
  </si>
  <si>
    <t>2013 Abuse of Weakness</t>
  </si>
  <si>
    <t>2013 Bastards</t>
  </si>
  <si>
    <t>2013 Best Friends Forever</t>
  </si>
  <si>
    <t>director: Brea Grant</t>
  </si>
  <si>
    <t>2013 The Bling Ring</t>
  </si>
  <si>
    <t>2013 Butter on the Latch</t>
  </si>
  <si>
    <t>director: Josephine Decker</t>
  </si>
  <si>
    <t>2013 Carrie</t>
  </si>
  <si>
    <t>2013 Concussion</t>
  </si>
  <si>
    <t>director: Stacie Passon</t>
  </si>
  <si>
    <t>2013 Desert Runners</t>
  </si>
  <si>
    <t>director: Jennifer Steinman</t>
  </si>
  <si>
    <t>2013 Elektro Moskva</t>
  </si>
  <si>
    <t>director: Elena Tikhonova</t>
  </si>
  <si>
    <t>2013 Enough Said</t>
  </si>
  <si>
    <t>2013 Final Recipe</t>
  </si>
  <si>
    <t>2013 Frozen</t>
  </si>
  <si>
    <t>director: Jennifer Lee, co-directed with Chris Buck</t>
  </si>
  <si>
    <t>2013 Hateship, Loveship</t>
  </si>
  <si>
    <t>2013 It Felt Like Love</t>
  </si>
  <si>
    <t>director: Eliza Hittman</t>
  </si>
  <si>
    <t>2013 Lucky Them</t>
  </si>
  <si>
    <t>2013 Night Moves</t>
  </si>
  <si>
    <t>2013 Palo Alto</t>
  </si>
  <si>
    <t>director: Gia Coppola</t>
  </si>
  <si>
    <t>2013 Plush</t>
  </si>
  <si>
    <t>2013 The Pretty One</t>
  </si>
  <si>
    <t>director: Jenée LaMarque</t>
  </si>
  <si>
    <t>2013 Some Girl(s)</t>
  </si>
  <si>
    <t>2013 Soulmate</t>
  </si>
  <si>
    <t>director: Axelle Carolyn</t>
  </si>
  <si>
    <t>2013 Sunlight Jr.</t>
  </si>
  <si>
    <t>2013 The To Do List</t>
  </si>
  <si>
    <t>director: Maggie Carey</t>
  </si>
  <si>
    <t>2013 Touchy Feely</t>
  </si>
  <si>
    <t>2014 A Girl Walks Home Alone at Night</t>
  </si>
  <si>
    <t>director: Ana Lily Amirpour</t>
  </si>
  <si>
    <t>2014 Amour Fou</t>
  </si>
  <si>
    <t>2014 Appropriate Behavior</t>
  </si>
  <si>
    <t>director: Desiree Akhavan</t>
  </si>
  <si>
    <t>2014 The Babadook</t>
  </si>
  <si>
    <t>director: Jennifer Kent</t>
  </si>
  <si>
    <t>2014 Dukhtar</t>
  </si>
  <si>
    <t>director: Afia Nathaniel</t>
  </si>
  <si>
    <t>2014 Girlhood</t>
  </si>
  <si>
    <t>director: Celine Sciamma</t>
  </si>
  <si>
    <t>2014 Honeymoon</t>
  </si>
  <si>
    <t>director: Leigh Janiak</t>
  </si>
  <si>
    <t>2014 I Believe in Unicorns</t>
  </si>
  <si>
    <t>director: Leah Meyerhoff</t>
  </si>
  <si>
    <t>2014 Kelly &amp; Cal</t>
  </si>
  <si>
    <t>director: Jen McGowan</t>
  </si>
  <si>
    <t>2014 Laggies</t>
  </si>
  <si>
    <t>2014 Madame Bovary</t>
  </si>
  <si>
    <t>2014 Miss Meadows</t>
  </si>
  <si>
    <t>director: Karen Leigh Hopkins</t>
  </si>
  <si>
    <t>2014 Obvious Child</t>
  </si>
  <si>
    <t>director: Gillian Robespierre</t>
  </si>
  <si>
    <t>2014 The Riot Club</t>
  </si>
  <si>
    <t>2014 Selma</t>
  </si>
  <si>
    <t>2014 The Sleepwalker</t>
  </si>
  <si>
    <t>director: Mona Fastvold</t>
  </si>
  <si>
    <t>2014 Thou Wast Mild and Lovely</t>
  </si>
  <si>
    <t>2014 Unbroken</t>
  </si>
  <si>
    <t>2014 The Voices</t>
  </si>
  <si>
    <t>director: Marjane Satrapi</t>
  </si>
  <si>
    <t>2014 Welcome to Me</t>
  </si>
  <si>
    <t>director: Shira Piven</t>
  </si>
  <si>
    <t>2014 The Wonders</t>
  </si>
  <si>
    <t>director: Alice Rohrwacher</t>
  </si>
  <si>
    <t>2015 3 Bahadur</t>
  </si>
  <si>
    <t>2015 3 Generations</t>
  </si>
  <si>
    <t>2015 6 Years</t>
  </si>
  <si>
    <t>2015 The Adderall Diaries</t>
  </si>
  <si>
    <t>director: Pamela Romanowsky</t>
  </si>
  <si>
    <t>2015 Addicted to Fresno</t>
  </si>
  <si>
    <t>2015 Adult Camp</t>
  </si>
  <si>
    <t>2015 Advantageous</t>
  </si>
  <si>
    <t>director: Jennifer Phang</t>
  </si>
  <si>
    <t>2015 Bare</t>
  </si>
  <si>
    <t>director: Natalia Leite</t>
  </si>
  <si>
    <t>2015 By the Sea</t>
  </si>
  <si>
    <t>2015 The Diary of a Teenage Girl</t>
  </si>
  <si>
    <t>director: Marielle Heller</t>
  </si>
  <si>
    <t>2015 The Dressmaker</t>
  </si>
  <si>
    <t>2015 Good Morning Karachi</t>
  </si>
  <si>
    <t>director: Sabiha Sumar</t>
  </si>
  <si>
    <t>2015 Gruber Is Leaving</t>
  </si>
  <si>
    <t>2015 The Intern</t>
  </si>
  <si>
    <t>2015 Into the Forest</t>
  </si>
  <si>
    <t>director: Patricia Rozema</t>
  </si>
  <si>
    <t>2015 The Invitation</t>
  </si>
  <si>
    <t>2015 Maggie's Plan</t>
  </si>
  <si>
    <t>2015 Meadowland</t>
  </si>
  <si>
    <t>director: Reed Morano</t>
  </si>
  <si>
    <t>2015 The Meddler</t>
  </si>
  <si>
    <t>2015 Miss You Already</t>
  </si>
  <si>
    <t>2015 Mustang</t>
  </si>
  <si>
    <t>director: Deniz Gamze Ergüven</t>
  </si>
  <si>
    <t>2015 Sleeping With Other People</t>
  </si>
  <si>
    <t>director: Leslye Headland</t>
  </si>
  <si>
    <t>2015 Songs My Brothers Taught Me</t>
  </si>
  <si>
    <t>director: Chloé Zhao</t>
  </si>
  <si>
    <t>2015 Suffragette</t>
  </si>
  <si>
    <t>director: Sarah Gavron</t>
  </si>
  <si>
    <t>2015 Summertime</t>
  </si>
  <si>
    <t>2015 Traumfrauen</t>
  </si>
  <si>
    <t>director: Anika Decker</t>
  </si>
  <si>
    <t>2016 Always Shine</t>
  </si>
  <si>
    <t>director: Sophia Takal</t>
  </si>
  <si>
    <t>2016 American Honey</t>
  </si>
  <si>
    <t>2016 The Bad Batch</t>
  </si>
  <si>
    <t>2016 Carrie Pilby</t>
  </si>
  <si>
    <t>director: Susan Johnson</t>
  </si>
  <si>
    <t>2016 Certain Women</t>
  </si>
  <si>
    <t>2016 The Edge of Seventeen</t>
  </si>
  <si>
    <t>director: Kelly Fremon Craig</t>
  </si>
  <si>
    <t>2016 Elvis &amp; Nixon</t>
  </si>
  <si>
    <t>2016 In the Radiant City</t>
  </si>
  <si>
    <t>director: Rachel Lambert</t>
  </si>
  <si>
    <t>2016 The Love Witch</t>
  </si>
  <si>
    <t>director: Anna Biller</t>
  </si>
  <si>
    <t>2016 The Night Stalker</t>
  </si>
  <si>
    <t>2016 Our Kind of Traitor</t>
  </si>
  <si>
    <t>2016 Prevenge</t>
  </si>
  <si>
    <t>director: Alice Lowe</t>
  </si>
  <si>
    <t>2016 Queen of Katwe</t>
  </si>
  <si>
    <t>2016 Raw</t>
  </si>
  <si>
    <t>director: Julia Ducournau</t>
  </si>
  <si>
    <t>2016 Sami Blood</t>
  </si>
  <si>
    <t>director: Amanda Kernell</t>
  </si>
  <si>
    <t>2016 SMS für Dich</t>
  </si>
  <si>
    <t>director: Karoline Herfurth</t>
  </si>
  <si>
    <t>2016 Strange Weather</t>
  </si>
  <si>
    <t>2016 Their Finest</t>
  </si>
  <si>
    <t>2016 Things to Come</t>
  </si>
  <si>
    <t>director: Mia Hansen-Love</t>
  </si>
  <si>
    <t>2016 Toni Erdmann</t>
  </si>
  <si>
    <t>2016 We Used to Be Cool</t>
  </si>
  <si>
    <t>2016 White Girl</t>
  </si>
  <si>
    <t>director: Elizabeth Wood</t>
  </si>
  <si>
    <t>2016 The Whole Truth</t>
  </si>
  <si>
    <t>2016 Women Who Kill</t>
  </si>
  <si>
    <t>director: Ingrid Jungermann</t>
  </si>
  <si>
    <t>2017 Band Aid</t>
  </si>
  <si>
    <t>director: Zoe Lister-Jones</t>
  </si>
  <si>
    <t>2017 Beach Rats</t>
  </si>
  <si>
    <t>2017 The Beguiled</t>
  </si>
  <si>
    <t>2017 Berlin Syndrome</t>
  </si>
  <si>
    <t>2017 The Boy Downstairs</t>
  </si>
  <si>
    <t>director: Sophie Brooks</t>
  </si>
  <si>
    <t>2017 Detroit</t>
  </si>
  <si>
    <t>2017 The Feels</t>
  </si>
  <si>
    <t>2017 Faces Places</t>
  </si>
  <si>
    <t>2017 First they Killed My Father</t>
  </si>
  <si>
    <t>2017 The Institute</t>
  </si>
  <si>
    <t>director: Pamela Romanowsky, co-directed with James Franco</t>
  </si>
  <si>
    <t>2017 The Keeping Hours</t>
  </si>
  <si>
    <t>2017 Lady Bird</t>
  </si>
  <si>
    <t>director: Greta Gerwig</t>
  </si>
  <si>
    <t>2017 Landline</t>
  </si>
  <si>
    <t>2017 Lemon</t>
  </si>
  <si>
    <t>director: Janicza Bravo</t>
  </si>
  <si>
    <t>2017 Let the Sunshine In</t>
  </si>
  <si>
    <t>2017 M.F.A.</t>
  </si>
  <si>
    <t>2017 Mary Shelley</t>
  </si>
  <si>
    <t>2017 Maya Dardel</t>
  </si>
  <si>
    <t>director: Magdalena Zyzak</t>
  </si>
  <si>
    <t>2017 Novitiate</t>
  </si>
  <si>
    <t>director: Maggie Betts</t>
  </si>
  <si>
    <t>2017 Outside In</t>
  </si>
  <si>
    <t>2017 The Party</t>
  </si>
  <si>
    <t>2017 Professor Marston and the Wonder Women</t>
  </si>
  <si>
    <t>2017 Revenge</t>
  </si>
  <si>
    <t>director: Coralie Fargeat</t>
  </si>
  <si>
    <t>2017 The Rider</t>
  </si>
  <si>
    <t>2017 Rough Night</t>
  </si>
  <si>
    <t>director: Lucia Aniello</t>
  </si>
  <si>
    <t>2017 Spoor (Pokot)</t>
  </si>
  <si>
    <t>2017 The Wasting</t>
  </si>
  <si>
    <t>director: Carolyn Saunders</t>
  </si>
  <si>
    <t>2017 Woman Walks Ahead</t>
  </si>
  <si>
    <t>2017 Wonder Woman</t>
  </si>
  <si>
    <t>2017 You Were Never Really Here</t>
  </si>
  <si>
    <t>2017 The Zookeeper's Wife</t>
  </si>
  <si>
    <t>2018 All About Nina</t>
  </si>
  <si>
    <t>director: Eva Vives</t>
  </si>
  <si>
    <t>2018 An Impossible Love</t>
  </si>
  <si>
    <t>2018 Blockers</t>
  </si>
  <si>
    <t>director: Kay Cannon</t>
  </si>
  <si>
    <t>2018 Can You Ever Forgive Me?</t>
  </si>
  <si>
    <t>2018 Charlie Says</t>
  </si>
  <si>
    <t>2018 Dead Pigs</t>
  </si>
  <si>
    <t>director: Cathy Yan</t>
  </si>
  <si>
    <t>2018 Destroyer</t>
  </si>
  <si>
    <t>2018 Family</t>
  </si>
  <si>
    <t>director: Laura Steinel</t>
  </si>
  <si>
    <t>2018 First Match</t>
  </si>
  <si>
    <t>director: Olivia Newman</t>
  </si>
  <si>
    <t>2018 Furlough</t>
  </si>
  <si>
    <t>2018 Galveston</t>
  </si>
  <si>
    <t>director: Mélanie Laurent</t>
  </si>
  <si>
    <t>2018 Happier Times, Grump</t>
  </si>
  <si>
    <t>director: Tiina Lymi</t>
  </si>
  <si>
    <t>2018 Happy as Lazzaro</t>
  </si>
  <si>
    <t>2018 High Life</t>
  </si>
  <si>
    <t>2018 Holiday</t>
  </si>
  <si>
    <t>director: Isabella Eklöf</t>
  </si>
  <si>
    <t>2018 I Think We're Alone Now</t>
  </si>
  <si>
    <t>2018 Ladyworld</t>
  </si>
  <si>
    <t>director: Amanda Kramer</t>
  </si>
  <si>
    <t>2018 The Land of Steady Habits</t>
  </si>
  <si>
    <t>2018 Leave No Trace</t>
  </si>
  <si>
    <t>2018 Little Woods</t>
  </si>
  <si>
    <t>director: Nia DaCosta</t>
  </si>
  <si>
    <t>2018 The Long Dumb Road</t>
  </si>
  <si>
    <t>2018 M</t>
  </si>
  <si>
    <t>director: Anna Eriksson</t>
  </si>
  <si>
    <t>2018 Madeline's Madeline</t>
  </si>
  <si>
    <t>2018 The Man Who Surprised Everyone</t>
  </si>
  <si>
    <t>director: Natasha Merkulova</t>
  </si>
  <si>
    <t>2018 Mary Queen of Scots</t>
  </si>
  <si>
    <t>director: Josie Rourke</t>
  </si>
  <si>
    <t>2018 Maya</t>
  </si>
  <si>
    <t>2018 The Miseducation of Cameron Post</t>
  </si>
  <si>
    <t>2018 Mouthpiece</t>
  </si>
  <si>
    <t>2018 Nancy</t>
  </si>
  <si>
    <t>director: Christina Choe</t>
  </si>
  <si>
    <t>2018 Nappily Ever After</t>
  </si>
  <si>
    <t>2018 Never Goin' Back</t>
  </si>
  <si>
    <t>director: Augustine Frizzell</t>
  </si>
  <si>
    <t>2018 The New Romantic</t>
  </si>
  <si>
    <t>director: Carly Stone</t>
  </si>
  <si>
    <t>2018 Night Comes On</t>
  </si>
  <si>
    <t>director: Jordana Spiro</t>
  </si>
  <si>
    <t>2018 The Nightingale</t>
  </si>
  <si>
    <t>2018 On the Basis of Sex</t>
  </si>
  <si>
    <t>2018 Ophelia</t>
  </si>
  <si>
    <t>director: Claire McCarthy</t>
  </si>
  <si>
    <t>2018 Private Life</t>
  </si>
  <si>
    <t>2018 Rust Creek</t>
  </si>
  <si>
    <t>2018 Sadie</t>
  </si>
  <si>
    <t>2018 Skate Kitchen</t>
  </si>
  <si>
    <t>director: Crystal Moselle</t>
  </si>
  <si>
    <t>2018 The Spy Who Dumped Me</t>
  </si>
  <si>
    <t>director: Susanna Fogel</t>
  </si>
  <si>
    <t>2018 State Like Sleep</t>
  </si>
  <si>
    <t>director: Meredith Danluck</t>
  </si>
  <si>
    <t>2018 Story of One Appointment</t>
  </si>
  <si>
    <t>2018 Swingers</t>
  </si>
  <si>
    <t>director: Pamela Tola</t>
  </si>
  <si>
    <t>2018 Treat Me Like Fire</t>
  </si>
  <si>
    <t>director: Marie Monge</t>
  </si>
  <si>
    <t>2018 We Have Always Lived in the Castle</t>
  </si>
  <si>
    <t>2018 What They Had</t>
  </si>
  <si>
    <t>director: Elizabeth Chomko</t>
  </si>
  <si>
    <t>2018 The Wind</t>
  </si>
  <si>
    <t>director: Emma Tammi</t>
  </si>
  <si>
    <t>2018 A Wrinkle in Time</t>
  </si>
  <si>
    <t>2019 A Beautiful Day in the Neighborhood</t>
  </si>
  <si>
    <t>2019 Always Be My Maybe</t>
  </si>
  <si>
    <t>director: Nahnatchka Khan</t>
  </si>
  <si>
    <t>2019 Atlantics</t>
  </si>
  <si>
    <t>director: Mati Diop</t>
  </si>
  <si>
    <t>2019 Babyteeth</t>
  </si>
  <si>
    <t>director: Shannon Murphy</t>
  </si>
  <si>
    <t>2019 Black Christmas</t>
  </si>
  <si>
    <t>2019 Black Conflux</t>
  </si>
  <si>
    <t>director: Nicole Dorsey</t>
  </si>
  <si>
    <t>2019 Blinded by the Light</t>
  </si>
  <si>
    <t>2019 Body at Brighton Rock</t>
  </si>
  <si>
    <t>director: Roxanne Benjamin</t>
  </si>
  <si>
    <t>2019 Booksmart</t>
  </si>
  <si>
    <t>director: Olivia Wilde</t>
  </si>
  <si>
    <t>2019 Buffaloed</t>
  </si>
  <si>
    <t>2019 Captain Marvel</t>
  </si>
  <si>
    <t>director: Anna Boden, co-directed with Ryan Fleck</t>
  </si>
  <si>
    <t>2019 Carmilla</t>
  </si>
  <si>
    <t>director: Emily Harris</t>
  </si>
  <si>
    <t>2019 Caviar</t>
  </si>
  <si>
    <t>2019 Clemency</t>
  </si>
  <si>
    <t>director: Chinonye Chukwu</t>
  </si>
  <si>
    <t>2019 The Farewell</t>
  </si>
  <si>
    <t>director: Lulu Wang</t>
  </si>
  <si>
    <t>2019 First Cow</t>
  </si>
  <si>
    <t>2019 Frozen II</t>
  </si>
  <si>
    <t>2019 The Ground Beneath My Feet</t>
  </si>
  <si>
    <t>2019 Harriet</t>
  </si>
  <si>
    <t>director: Kasi Lemmons</t>
  </si>
  <si>
    <t>2019 Hustlers</t>
  </si>
  <si>
    <t>2019 I'll Find You</t>
  </si>
  <si>
    <t>2019 Instinct</t>
  </si>
  <si>
    <t>director: Halina Reijn</t>
  </si>
  <si>
    <t>2019 Judy and Punch</t>
  </si>
  <si>
    <t>director: Mirrah Foulkes</t>
  </si>
  <si>
    <t>2019 The Kindness of Strangers</t>
  </si>
  <si>
    <t>2019 Knives and Skin</t>
  </si>
  <si>
    <t>director: Jennifer Reeder</t>
  </si>
  <si>
    <t>2019 Little Joe</t>
  </si>
  <si>
    <t>2019 Little Women</t>
  </si>
  <si>
    <t>2019 Miss Bala</t>
  </si>
  <si>
    <t>2019 Mr. Jones</t>
  </si>
  <si>
    <t>2019 The Other Lamb</t>
  </si>
  <si>
    <t>director: Małgorzata Szumowska</t>
  </si>
  <si>
    <t>2019 Paradise Hills</t>
  </si>
  <si>
    <t>director: Alice Waddington</t>
  </si>
  <si>
    <t>2019 The Perfect Candidate</t>
  </si>
  <si>
    <t>2019 Portrait of a Lady on Fire</t>
  </si>
  <si>
    <t>2019 Queen &amp; Slim</t>
  </si>
  <si>
    <t>director: Melina Matsoukas</t>
  </si>
  <si>
    <t>2019 Queen of the Morning Calm</t>
  </si>
  <si>
    <t>director: Gloria Ui Young Kim</t>
  </si>
  <si>
    <t>2019 Radioactive</t>
  </si>
  <si>
    <t>2019 Rocks</t>
  </si>
  <si>
    <t>2019 Saint Maud</t>
  </si>
  <si>
    <t>director: Rose Glass</t>
  </si>
  <si>
    <t>2019 Satanic Panic</t>
  </si>
  <si>
    <t>director: Chelsea Stardust</t>
  </si>
  <si>
    <t>2019 The Souvenir</t>
  </si>
  <si>
    <t>director: Joanna Hogg</t>
  </si>
  <si>
    <t>2019 Sweethearts</t>
  </si>
  <si>
    <t>2019 Sword of Trust</t>
  </si>
  <si>
    <t>2019 System Crasher</t>
  </si>
  <si>
    <t>director: Nora Fingscheidt</t>
  </si>
  <si>
    <t>2019 To the Stars</t>
  </si>
  <si>
    <t>director: Martha Stephens</t>
  </si>
  <si>
    <t>2019 The Wall of Mexico</t>
  </si>
  <si>
    <t>2019 When I'm a Moth</t>
  </si>
  <si>
    <t>2020 12 Hour Shift</t>
  </si>
  <si>
    <t>2020 Amulet</t>
  </si>
  <si>
    <t>director: Romola Garai</t>
  </si>
  <si>
    <t>2020 Berlin, Berlin – Der Film</t>
  </si>
  <si>
    <t>director: Franziska Meyer Price</t>
  </si>
  <si>
    <t>2020 Between Waves</t>
  </si>
  <si>
    <t>director: Virginia Abramovich</t>
  </si>
  <si>
    <t>2020 Birds of Prey</t>
  </si>
  <si>
    <t>2020 The Broken Hearts Gallery</t>
  </si>
  <si>
    <t>director: Natalie Krinsky</t>
  </si>
  <si>
    <t>2020 Charlatan (Šarlatán)</t>
  </si>
  <si>
    <t>2020 Charter</t>
  </si>
  <si>
    <t>2020 The Craft: Legacy</t>
  </si>
  <si>
    <t>2020 The Curse of Willow Song</t>
  </si>
  <si>
    <t>director: Karen Lam</t>
  </si>
  <si>
    <t>2020 Emma</t>
  </si>
  <si>
    <t>director: Autumn de Wilde</t>
  </si>
  <si>
    <t>2020 Father of the Bride Part 3(ish)</t>
  </si>
  <si>
    <t>2020 The Forty-Year-Old Version</t>
  </si>
  <si>
    <t>director: Rahda Blank</t>
  </si>
  <si>
    <t>2020 The Glorias</t>
  </si>
  <si>
    <t>2020 The High Note</t>
  </si>
  <si>
    <t>director: Nisha Ganatra</t>
  </si>
  <si>
    <t>2020 Holler</t>
  </si>
  <si>
    <t>director: Nicole Riegel</t>
  </si>
  <si>
    <t>2020 I'm Your Woman</t>
  </si>
  <si>
    <t>director: Julia Hart</t>
  </si>
  <si>
    <t>2020 Kajillionaire</t>
  </si>
  <si>
    <t>director: Miranda July</t>
  </si>
  <si>
    <t>2020 Ladies of Steel</t>
  </si>
  <si>
    <t>2020 Lucky</t>
  </si>
  <si>
    <t>director: Natasha Kermani</t>
  </si>
  <si>
    <t>2020 Lorelei</t>
  </si>
  <si>
    <t>director: Sabrina Doyle</t>
  </si>
  <si>
    <t>2020 Mainstream</t>
  </si>
  <si>
    <t>2020 Misbehaviour</t>
  </si>
  <si>
    <t>director: Philippa Lowthorpe</t>
  </si>
  <si>
    <t>2020 Never Rarely Sometimes Always</t>
  </si>
  <si>
    <t>2020 Nomadland</t>
  </si>
  <si>
    <t>2020 The Old Guard</t>
  </si>
  <si>
    <t>2020 Promising Young Woman</t>
  </si>
  <si>
    <t>director: Emerald Fennell</t>
  </si>
  <si>
    <t>2020 Quo Vadis, Aida?</t>
  </si>
  <si>
    <t>director: Jasmila Žbanić</t>
  </si>
  <si>
    <t>2020 Relic</t>
  </si>
  <si>
    <t>director: Natalie Erika James</t>
  </si>
  <si>
    <t>2020 The Rhythm Section</t>
  </si>
  <si>
    <t>2020 The Roads Not Taken</t>
  </si>
  <si>
    <t>2020 Tove</t>
  </si>
  <si>
    <t>director: Zaida Bergroth</t>
  </si>
  <si>
    <t>2020 She Dies Tomorrow</t>
  </si>
  <si>
    <t>director: Amy Seimetz</t>
  </si>
  <si>
    <t>2020 Shirley</t>
  </si>
  <si>
    <t>2020 Shiva Baby</t>
  </si>
  <si>
    <t>director: Emma Seligman</t>
  </si>
  <si>
    <t>2020 The Three</t>
  </si>
  <si>
    <t>director: Anna Melikian</t>
  </si>
  <si>
    <t>2020 What We Wanted</t>
  </si>
  <si>
    <t>director: Ulrike Kofler</t>
  </si>
  <si>
    <t>2020 Wonder Woman 1984</t>
  </si>
  <si>
    <t>2020 The World to Come</t>
  </si>
  <si>
    <t>2021 70 Is Just a Number</t>
  </si>
  <si>
    <t>2021 A Mouthful of Air</t>
  </si>
  <si>
    <t>director: Amy Koppelman</t>
  </si>
  <si>
    <t>2021 Bergman Island</t>
  </si>
  <si>
    <t>2021 Black Widow</t>
  </si>
  <si>
    <t>2021 Candyman</t>
  </si>
  <si>
    <t>2021 Captain Volkonogov Escaped</t>
  </si>
  <si>
    <t>2021 Censor</t>
  </si>
  <si>
    <t>director: Prano Bailey-Bond</t>
  </si>
  <si>
    <t>2021 CODA</t>
  </si>
  <si>
    <t>director: Siân Heder</t>
  </si>
  <si>
    <t>2021 The Divide</t>
  </si>
  <si>
    <t>2021 Earwig</t>
  </si>
  <si>
    <t>director: Lucile Hadžihalilović</t>
  </si>
  <si>
    <t>2021 Eternals</t>
  </si>
  <si>
    <t>2021 The Fallout</t>
  </si>
  <si>
    <t>director: Megan Park</t>
  </si>
  <si>
    <t>2021 Gerda</t>
  </si>
  <si>
    <t>director: Natalya Kudryashova</t>
  </si>
  <si>
    <t>2021 Happening</t>
  </si>
  <si>
    <t>director: Audrey Diwan</t>
  </si>
  <si>
    <t>2021 I'm Your Man</t>
  </si>
  <si>
    <t>director: Maria Schrader</t>
  </si>
  <si>
    <t>2021 The Lost Daughter</t>
  </si>
  <si>
    <t>director: Maggie Gyllenhaal</t>
  </si>
  <si>
    <t>2021 The Manor</t>
  </si>
  <si>
    <t>2021 Mark, Mary &amp; Some Other People</t>
  </si>
  <si>
    <t>director: Hannah Marks</t>
  </si>
  <si>
    <t>2021 The Matrix Resurrections</t>
  </si>
  <si>
    <t>director: Lana Wachowski</t>
  </si>
  <si>
    <t>2021 Mayday</t>
  </si>
  <si>
    <t>director: Karen Cinorre</t>
  </si>
  <si>
    <t>2021 Mona Lisa and the Blood Moon</t>
  </si>
  <si>
    <t>2021 Mothering Sunday</t>
  </si>
  <si>
    <t>director: Eva Husson</t>
  </si>
  <si>
    <t>2021 The North Wind</t>
  </si>
  <si>
    <t>2021 The Novice</t>
  </si>
  <si>
    <t>director: Lauren Hadaway</t>
  </si>
  <si>
    <t>2021 Petite Maman</t>
  </si>
  <si>
    <t>2021 Pleasure</t>
  </si>
  <si>
    <t>director: Ninja Thyberg</t>
  </si>
  <si>
    <t>2021 The Power of the Dog</t>
  </si>
  <si>
    <t>2021 Quarantine</t>
  </si>
  <si>
    <t>director: Diana Ringo</t>
  </si>
  <si>
    <t>2021 She Will</t>
  </si>
  <si>
    <t>director: Charlotte Colbert</t>
  </si>
  <si>
    <t>2021 Silent Night</t>
  </si>
  <si>
    <t>director: Camille Griffin</t>
  </si>
  <si>
    <t>2021 Stellar</t>
  </si>
  <si>
    <t>director: Darlene Naponse</t>
  </si>
  <si>
    <t>2021 The Story of My Wife</t>
  </si>
  <si>
    <t>director: Ildikó Enyedi</t>
  </si>
  <si>
    <t>2021 Sweetheart</t>
  </si>
  <si>
    <t>director: Marley Morrison</t>
  </si>
  <si>
    <t>2021 Titane</t>
  </si>
  <si>
    <t>2021 Together Together</t>
  </si>
  <si>
    <t>director: Nikole Beckwith</t>
  </si>
  <si>
    <t>2021 Unclenching the Fists</t>
  </si>
  <si>
    <t>director: Kira Kovalenko</t>
  </si>
  <si>
    <t>2021 Violet</t>
  </si>
  <si>
    <t>director: Justine Bateman</t>
  </si>
  <si>
    <t>2021 Wolf</t>
  </si>
  <si>
    <t>director: Nathalie Biancheri</t>
  </si>
  <si>
    <t>2021 Yuni</t>
  </si>
  <si>
    <t>director: Kamila Andini</t>
  </si>
  <si>
    <t>2021 Zola</t>
  </si>
  <si>
    <t>2022 Aftersun</t>
  </si>
  <si>
    <t>director: Charlotte Wells</t>
  </si>
  <si>
    <t>2022 Alice, Darling</t>
  </si>
  <si>
    <t>director: Mary Nighy</t>
  </si>
  <si>
    <t>2022 Amanda</t>
  </si>
  <si>
    <t>director: Carolina Cavalli</t>
  </si>
  <si>
    <t>2022 Aristotle and Dante Discover the Secrets of the Universe</t>
  </si>
  <si>
    <t>director: Aitch Alberto</t>
  </si>
  <si>
    <t>2022 Batata</t>
  </si>
  <si>
    <t>director: Noura Kevorkian</t>
  </si>
  <si>
    <t>2022 Bodies Bodies Bodies</t>
  </si>
  <si>
    <t>2022 Both Sides of the Blade</t>
  </si>
  <si>
    <t>2022 Continue</t>
  </si>
  <si>
    <t>director: Nadine Crocker</t>
  </si>
  <si>
    <t>2022 Corsage</t>
  </si>
  <si>
    <t>2022 Dalíland</t>
  </si>
  <si>
    <t>2022 Deadstream</t>
  </si>
  <si>
    <t>director: Vanessa Winters, co-directed with Joseph Winters</t>
  </si>
  <si>
    <t>2022 Don't Make Me Go</t>
  </si>
  <si>
    <t>2022 Emily</t>
  </si>
  <si>
    <t>director: Frances O'Connor</t>
  </si>
  <si>
    <t>2022 Fresh</t>
  </si>
  <si>
    <t>director: Mimi Cave</t>
  </si>
  <si>
    <t>2022 Girl Picture</t>
  </si>
  <si>
    <t>director: Alli Haapasalo</t>
  </si>
  <si>
    <t>2022 Glorious</t>
  </si>
  <si>
    <t>director: Rebekah McKendry</t>
  </si>
  <si>
    <t>2022 Good Luck to You, Leo Grande</t>
  </si>
  <si>
    <t>director: Sophie Hyde</t>
  </si>
  <si>
    <t>2022 Hatching</t>
  </si>
  <si>
    <t>director: Hanna Bergholm</t>
  </si>
  <si>
    <t>2022 Just Something Nice</t>
  </si>
  <si>
    <t>2022 Mack &amp; Rita</t>
  </si>
  <si>
    <t>2022 Montreal Girls</t>
  </si>
  <si>
    <t>director: Patricia Chica</t>
  </si>
  <si>
    <t>2022 Next Exit</t>
  </si>
  <si>
    <t>director: Mali Elfman</t>
  </si>
  <si>
    <t>2022 North of Normal</t>
  </si>
  <si>
    <t>2022 Piggy</t>
  </si>
  <si>
    <t>director: Carlota Pereda</t>
  </si>
  <si>
    <t>2022 Please Baby Please</t>
  </si>
  <si>
    <t>2022 She Said</t>
  </si>
  <si>
    <t>2022 Showing Up</t>
  </si>
  <si>
    <t>2022 Sissy</t>
  </si>
  <si>
    <t>director: Hannah Barlow, co-directed with Kane Senes</t>
  </si>
  <si>
    <t>2022 The Sky Is Everywhere</t>
  </si>
  <si>
    <t>2022 Stars at Noon</t>
  </si>
  <si>
    <t>2022 The Swearing Jar</t>
  </si>
  <si>
    <t>director: Lindsay MacKay</t>
  </si>
  <si>
    <t>2022 Till</t>
  </si>
  <si>
    <t>2022 Torn Hearts</t>
  </si>
  <si>
    <t>2022 Umma</t>
  </si>
  <si>
    <t>director: Iris K. Shim</t>
  </si>
  <si>
    <t>2022 Watcher</t>
  </si>
  <si>
    <t>director: Chloe Okuno</t>
  </si>
  <si>
    <t>2022 When Time Got Louder</t>
  </si>
  <si>
    <t>director: Connie Cocchia</t>
  </si>
  <si>
    <t>2022 Where the Crawdads Sing</t>
  </si>
  <si>
    <t>2022 Women Talking</t>
  </si>
  <si>
    <t>2022 Wunderschön</t>
  </si>
  <si>
    <t>2023 1984</t>
  </si>
  <si>
    <t>2023 A Thousand and One</t>
  </si>
  <si>
    <t>director: A.V. Rockwell</t>
  </si>
  <si>
    <t>2023 About My Father</t>
  </si>
  <si>
    <t>director: Laura Terruso</t>
  </si>
  <si>
    <t>2023 All Dirt Roads Taste of Salt</t>
  </si>
  <si>
    <t>director: Raven Jackson</t>
  </si>
  <si>
    <t>2023 Are You There God? It's Me, Margaret.</t>
  </si>
  <si>
    <t>2023 Barbie</t>
  </si>
  <si>
    <t>2023 Birth/Rebirth</t>
  </si>
  <si>
    <t>director: Laura Moss</t>
  </si>
  <si>
    <t>2023 Bottoms</t>
  </si>
  <si>
    <t>2023 Cocaine Bear</t>
  </si>
  <si>
    <t>director: Elizabeth Banks</t>
  </si>
  <si>
    <t>2023 Days of Happiness</t>
  </si>
  <si>
    <t>director: Chloé Robichaud</t>
  </si>
  <si>
    <t>2023 Desperation Road</t>
  </si>
  <si>
    <t>2023 The End We Start From</t>
  </si>
  <si>
    <t>director: Mahalia Belo</t>
  </si>
  <si>
    <t>2023 Family Time</t>
  </si>
  <si>
    <t>director: Tia Kouvo</t>
  </si>
  <si>
    <t>2023 Fair Play</t>
  </si>
  <si>
    <t>director: Chloe Domont</t>
  </si>
  <si>
    <t>2023 Finality of Dusk</t>
  </si>
  <si>
    <t>director: Madison Thomas</t>
  </si>
  <si>
    <t>2023 Five Nights at Freddy's</t>
  </si>
  <si>
    <t>2023 Green Border (Zielona Granica)</t>
  </si>
  <si>
    <t>2023 Homecoming</t>
  </si>
  <si>
    <t>2023 How to Have Sex</t>
  </si>
  <si>
    <t>director: Molly Manning Walker</t>
  </si>
  <si>
    <t>2023 Howdy, Neighbor!</t>
  </si>
  <si>
    <t>director: Allisyn Snyder</t>
  </si>
  <si>
    <t>2023 Jeanne du Barry</t>
  </si>
  <si>
    <t>director: Maïwenn</t>
  </si>
  <si>
    <t>2023 Joy Ride</t>
  </si>
  <si>
    <t>director: Adele Lim</t>
  </si>
  <si>
    <t>2023 La chimera</t>
  </si>
  <si>
    <t>2023 Lee</t>
  </si>
  <si>
    <t>director: Ellen Kuras</t>
  </si>
  <si>
    <t>2023 Lovely, Dark, and Deep</t>
  </si>
  <si>
    <t>director: Teresa Sutherland</t>
  </si>
  <si>
    <t>2023 Mafia Mamma</t>
  </si>
  <si>
    <t>2023 The Marvels</t>
  </si>
  <si>
    <t>2023 The Order of Time</t>
  </si>
  <si>
    <t>2023 Past Lives</t>
  </si>
  <si>
    <t>director: Celine Song</t>
  </si>
  <si>
    <t>2023 Perpetrator</t>
  </si>
  <si>
    <t>2023 The Pod Generation</t>
  </si>
  <si>
    <t>2023 Polarized</t>
  </si>
  <si>
    <t>director: Shamim Sarif[8]</t>
  </si>
  <si>
    <t>2023 Polite Society</t>
  </si>
  <si>
    <t>director: Nida Manzoor</t>
  </si>
  <si>
    <t>2023 Priscilla</t>
  </si>
  <si>
    <t>2023 Rye Lane</t>
  </si>
  <si>
    <t>director: Raine Allen-Miller</t>
  </si>
  <si>
    <t>2023 Saltburn</t>
  </si>
  <si>
    <t>2023 Scrambled</t>
  </si>
  <si>
    <t>director: Leah McKendrick</t>
  </si>
  <si>
    <t>2023 Scrapper</t>
  </si>
  <si>
    <t>director: Charlotte Regan</t>
  </si>
  <si>
    <t>2023 Sometimes I Think About Dying</t>
  </si>
  <si>
    <t>2023 The Starling Girl</t>
  </si>
  <si>
    <t>director: Laurel Parmet</t>
  </si>
  <si>
    <t>2023 There's Something Wrong with the Children</t>
  </si>
  <si>
    <t>2023 Totally Killer</t>
  </si>
  <si>
    <t>2023 Unseen</t>
  </si>
  <si>
    <t>director: Yoko Okumura</t>
  </si>
  <si>
    <t>2023 Woman of the Hour</t>
  </si>
  <si>
    <t>director: Anna Kendrick</t>
  </si>
  <si>
    <t>2023 The Worst Idea Ever</t>
  </si>
  <si>
    <t>2023 You Hurt My Feelings</t>
  </si>
  <si>
    <t>2024 All We Imagine as Light</t>
  </si>
  <si>
    <t>director: Payal Kapadia</t>
  </si>
  <si>
    <t>2024 Apartment 7A</t>
  </si>
  <si>
    <t>2024 The Black Sea</t>
  </si>
  <si>
    <t>2024 Blink Twice</t>
  </si>
  <si>
    <t>director: Zoë Kravitz</t>
  </si>
  <si>
    <t>2024 Babygirl</t>
  </si>
  <si>
    <t>2024 Beautiful Rebel</t>
  </si>
  <si>
    <t>director: Cinzia Torrini</t>
  </si>
  <si>
    <t>2024 Bird</t>
  </si>
  <si>
    <t>2024 The Fire Inside</t>
  </si>
  <si>
    <t>director: Rachel Morrison</t>
  </si>
  <si>
    <t>2024 The Last Showgirl</t>
  </si>
  <si>
    <t>2024 Love in the Big City</t>
  </si>
  <si>
    <t>director: E.oni</t>
  </si>
  <si>
    <t>2024 Love Lies Bleeding</t>
  </si>
  <si>
    <t>2024 Madame Web</t>
  </si>
  <si>
    <t>director: S. J. Clarkson</t>
  </si>
  <si>
    <t>2024 Moana 2</t>
  </si>
  <si>
    <t>director: Dana Ledoux Miller, co-directed with David Derrick Jr. &amp; Jason Hand</t>
  </si>
  <si>
    <t>2024 My Name Is Dingo</t>
  </si>
  <si>
    <t>2024 My Old Ass</t>
  </si>
  <si>
    <t>2024 My Undesirable Friends: Part I — Last Air in Moscow</t>
  </si>
  <si>
    <t>2024 Nightbitch</t>
  </si>
  <si>
    <t>2024 Stolen</t>
  </si>
  <si>
    <t>director: Elle Márjá Eira</t>
  </si>
  <si>
    <t>2024 Stormskerry Maja</t>
  </si>
  <si>
    <t>2024 The Substance</t>
  </si>
  <si>
    <t>2024 Toxic</t>
  </si>
  <si>
    <t>director: Saulė Bliuvaitė</t>
  </si>
  <si>
    <t>2024 Venom: The Last Dance</t>
  </si>
  <si>
    <t>director: Kelly Marcel</t>
  </si>
  <si>
    <t>2024 The Outrun</t>
  </si>
  <si>
    <t>2025 100 Sunset</t>
  </si>
  <si>
    <t>director: Kunsang Kyirong</t>
  </si>
  <si>
    <t>2025 After Dreaming</t>
  </si>
  <si>
    <t>director: Christine Haroutounian</t>
  </si>
  <si>
    <t>2025 Akashi</t>
  </si>
  <si>
    <t>director: Mayumi Yoshida</t>
  </si>
  <si>
    <t>2025 Alpha</t>
  </si>
  <si>
    <t>2025 Bad Girl</t>
  </si>
  <si>
    <t>director: Varsha Bharath</t>
  </si>
  <si>
    <t>2025 Bad Influence</t>
  </si>
  <si>
    <t>director: Chloé Wallace</t>
  </si>
  <si>
    <t>2025 Bird in Hand</t>
  </si>
  <si>
    <t>director: Melody C. Roscher</t>
  </si>
  <si>
    <t>2025 The Crazy Empress</t>
  </si>
  <si>
    <t>director: Radda Novikova</t>
  </si>
  <si>
    <t>2025 The Curse of Modigliani</t>
  </si>
  <si>
    <t>2025 Dead Lover</t>
  </si>
  <si>
    <t>director: Grace Glowicki</t>
  </si>
  <si>
    <t>2025 Die My Love</t>
  </si>
  <si>
    <t>2025 Eleanor the Great</t>
  </si>
  <si>
    <t>director: Scarlett Johansson</t>
  </si>
  <si>
    <t>2025 Franz</t>
  </si>
  <si>
    <t>2025 Hamnet</t>
  </si>
  <si>
    <t>2025 Hedda</t>
  </si>
  <si>
    <t>2025 A House of Dynamite</t>
  </si>
  <si>
    <t>2025 The Ice Tower</t>
  </si>
  <si>
    <t>2025 If I Had Legs I'd Kick You</t>
  </si>
  <si>
    <t>director: Mary Bronstein</t>
  </si>
  <si>
    <t>2025 KPop Demon Hunters</t>
  </si>
  <si>
    <t>director: Maggie Kang, co-directed with Chris Appelhans</t>
  </si>
  <si>
    <t>2025 Love, Brooklyn</t>
  </si>
  <si>
    <t>director: Rachael Abigail Holder</t>
  </si>
  <si>
    <t>2025 The Mastermind</t>
  </si>
  <si>
    <t>2025 Nesting</t>
  </si>
  <si>
    <t>director: Chloé Cinq-Mars</t>
  </si>
  <si>
    <t>2025 The Old Guard 2</t>
  </si>
  <si>
    <t>2025 Peak Everything</t>
  </si>
  <si>
    <t>director: Anne Émond</t>
  </si>
  <si>
    <t>2025 Queens of the Dead</t>
  </si>
  <si>
    <t>director: Tina Romero</t>
  </si>
  <si>
    <t>2025 Red Sonja</t>
  </si>
  <si>
    <t>director: M. J. Bassett</t>
  </si>
  <si>
    <t>2025 Sound of Falling</t>
  </si>
  <si>
    <t>director: Mascha Schilinski</t>
  </si>
  <si>
    <t>2025 The Testament of Ann Lee</t>
  </si>
  <si>
    <t>2025 Three Goodbyes</t>
  </si>
  <si>
    <t>director: Isabel Coixet</t>
  </si>
  <si>
    <t>2025 Unidentified</t>
  </si>
  <si>
    <t>2025 The Virgin of the Quarry Lake</t>
  </si>
  <si>
    <t>director: Laura Casabé</t>
  </si>
  <si>
    <t>2025 Winter of the Crow</t>
  </si>
  <si>
    <t>director: Kasia Adamik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</si>
</sst>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wrapText="0"/>
    </xf>
    <xf borderId="1" fillId="2" fontId="2" numFmtId="0" xfId="0" applyBorder="1" applyFont="1"/>
    <xf borderId="2" fillId="2" fontId="2" numFmtId="0" xfId="0" applyBorder="1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0.43"/>
    <col customWidth="1" min="3" max="3" width="25.14"/>
    <col customWidth="1" min="4" max="4" width="8.86"/>
    <col customWidth="1" min="5" max="5" width="14.14"/>
    <col customWidth="1" min="6" max="6" width="12.71"/>
    <col customWidth="1" min="7" max="7" width="14.29"/>
    <col customWidth="1" min="8" max="8" width="13.0"/>
    <col customWidth="1" min="9" max="9" width="24.14"/>
    <col customWidth="1" min="10" max="10" width="17.14"/>
    <col customWidth="1" min="11" max="11" width="17.86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</row>
    <row r="2">
      <c r="A2" s="8" t="s">
        <v>11</v>
      </c>
      <c r="B2" s="8"/>
      <c r="C2" s="9" t="s">
        <v>12</v>
      </c>
      <c r="D2" s="10" t="s">
        <v>13</v>
      </c>
      <c r="E2" s="11" t="s">
        <v>14</v>
      </c>
      <c r="F2" s="11" t="s">
        <v>15</v>
      </c>
      <c r="G2" s="11"/>
      <c r="H2" s="11" t="s">
        <v>16</v>
      </c>
      <c r="I2" s="12"/>
      <c r="J2" s="12"/>
    </row>
    <row r="3">
      <c r="A3" s="8"/>
      <c r="B3" s="8"/>
      <c r="C3" s="9"/>
      <c r="D3" s="10"/>
      <c r="F3" s="11" t="s">
        <v>17</v>
      </c>
      <c r="G3" s="11"/>
      <c r="H3" s="11" t="s">
        <v>18</v>
      </c>
      <c r="I3" s="13"/>
      <c r="J3" s="13"/>
    </row>
    <row r="4">
      <c r="A4" s="8" t="s">
        <v>19</v>
      </c>
      <c r="B4" s="8"/>
      <c r="C4" s="9" t="s">
        <v>12</v>
      </c>
      <c r="D4" s="10" t="s">
        <v>20</v>
      </c>
      <c r="E4" s="11" t="s">
        <v>21</v>
      </c>
      <c r="F4" s="11" t="s">
        <v>15</v>
      </c>
      <c r="G4" s="11"/>
      <c r="H4" s="11" t="s">
        <v>22</v>
      </c>
      <c r="I4" s="12" t="s">
        <v>23</v>
      </c>
      <c r="J4" s="12"/>
    </row>
    <row r="5">
      <c r="A5" s="8"/>
      <c r="B5" s="8"/>
      <c r="C5" s="9"/>
      <c r="D5" s="10"/>
      <c r="F5" s="11" t="s">
        <v>24</v>
      </c>
      <c r="G5" s="11"/>
      <c r="H5" s="11" t="s">
        <v>18</v>
      </c>
      <c r="I5" s="13"/>
      <c r="J5" s="13"/>
    </row>
    <row r="6">
      <c r="A6" s="8"/>
      <c r="B6" s="8"/>
      <c r="C6" s="9"/>
      <c r="D6" s="10"/>
      <c r="F6" s="11" t="s">
        <v>25</v>
      </c>
      <c r="G6" s="11"/>
      <c r="H6" s="11" t="s">
        <v>26</v>
      </c>
      <c r="I6" s="13"/>
      <c r="J6" s="13"/>
    </row>
    <row r="7">
      <c r="A7" s="8" t="s">
        <v>27</v>
      </c>
      <c r="B7" s="8"/>
      <c r="C7" s="9" t="s">
        <v>28</v>
      </c>
      <c r="D7" s="10" t="s">
        <v>29</v>
      </c>
      <c r="E7" s="11" t="s">
        <v>21</v>
      </c>
      <c r="F7" s="11" t="s">
        <v>30</v>
      </c>
      <c r="G7" s="11"/>
      <c r="H7" s="11" t="s">
        <v>22</v>
      </c>
      <c r="I7" s="12" t="s">
        <v>31</v>
      </c>
      <c r="J7" s="12"/>
    </row>
    <row r="8">
      <c r="A8" s="8"/>
      <c r="B8" s="8"/>
      <c r="C8" s="10" t="s">
        <v>32</v>
      </c>
      <c r="D8" s="10"/>
      <c r="H8" s="11" t="s">
        <v>18</v>
      </c>
      <c r="I8" s="13"/>
      <c r="J8" s="13"/>
    </row>
    <row r="9">
      <c r="A9" s="8"/>
      <c r="B9" s="8"/>
      <c r="C9" s="10"/>
      <c r="D9" s="10"/>
      <c r="H9" s="11" t="s">
        <v>26</v>
      </c>
      <c r="I9" s="13"/>
      <c r="J9" s="13"/>
    </row>
    <row r="10">
      <c r="A10" s="8" t="s">
        <v>33</v>
      </c>
      <c r="B10" s="8"/>
      <c r="C10" s="9" t="s">
        <v>28</v>
      </c>
      <c r="D10" s="10" t="s">
        <v>34</v>
      </c>
      <c r="E10" s="11" t="s">
        <v>21</v>
      </c>
      <c r="F10" s="11" t="s">
        <v>30</v>
      </c>
      <c r="G10" s="11"/>
      <c r="H10" s="11" t="s">
        <v>22</v>
      </c>
      <c r="I10" s="12" t="s">
        <v>35</v>
      </c>
      <c r="J10" s="12"/>
    </row>
    <row r="11">
      <c r="A11" s="8"/>
      <c r="B11" s="8"/>
      <c r="C11" s="9"/>
      <c r="D11" s="10"/>
      <c r="F11" s="11" t="s">
        <v>17</v>
      </c>
      <c r="G11" s="11"/>
      <c r="H11" s="11" t="s">
        <v>18</v>
      </c>
      <c r="I11" s="13"/>
      <c r="J11" s="13"/>
    </row>
    <row r="12">
      <c r="A12" s="8"/>
      <c r="B12" s="8"/>
      <c r="C12" s="9"/>
      <c r="D12" s="10"/>
      <c r="F12" s="11"/>
      <c r="G12" s="11"/>
      <c r="H12" s="11" t="s">
        <v>26</v>
      </c>
      <c r="I12" s="13"/>
      <c r="J12" s="13"/>
    </row>
    <row r="13">
      <c r="A13" s="8" t="s">
        <v>36</v>
      </c>
      <c r="B13" s="8"/>
      <c r="C13" s="9" t="s">
        <v>37</v>
      </c>
      <c r="D13" s="10" t="s">
        <v>38</v>
      </c>
      <c r="E13" s="11" t="s">
        <v>21</v>
      </c>
      <c r="F13" s="11" t="s">
        <v>30</v>
      </c>
      <c r="G13" s="11"/>
      <c r="H13" s="11" t="s">
        <v>22</v>
      </c>
      <c r="I13" s="12" t="s">
        <v>39</v>
      </c>
      <c r="J13" s="12"/>
    </row>
    <row r="14">
      <c r="A14" s="8"/>
      <c r="B14" s="8"/>
      <c r="C14" s="9"/>
      <c r="D14" s="10"/>
      <c r="E14" s="11"/>
      <c r="F14" s="11"/>
      <c r="G14" s="11"/>
      <c r="H14" s="11" t="s">
        <v>18</v>
      </c>
      <c r="I14" s="12"/>
      <c r="J14" s="12"/>
    </row>
    <row r="15">
      <c r="A15" s="8"/>
      <c r="B15" s="8"/>
      <c r="C15" s="9"/>
      <c r="D15" s="10"/>
      <c r="E15" s="11"/>
      <c r="F15" s="11"/>
      <c r="G15" s="11"/>
      <c r="H15" s="11" t="s">
        <v>26</v>
      </c>
      <c r="I15" s="12"/>
      <c r="J15" s="12"/>
    </row>
    <row r="16">
      <c r="A16" s="8" t="s">
        <v>40</v>
      </c>
      <c r="B16" s="8"/>
      <c r="C16" s="9" t="s">
        <v>41</v>
      </c>
      <c r="D16" s="10" t="s">
        <v>38</v>
      </c>
      <c r="E16" s="11" t="s">
        <v>42</v>
      </c>
      <c r="F16" s="11" t="s">
        <v>43</v>
      </c>
      <c r="G16" s="11"/>
      <c r="H16" s="11" t="s">
        <v>18</v>
      </c>
      <c r="I16" s="13"/>
      <c r="J16" s="13"/>
    </row>
    <row r="17">
      <c r="A17" s="8"/>
      <c r="B17" s="8"/>
      <c r="C17" s="9"/>
      <c r="D17" s="10"/>
      <c r="E17" s="11"/>
      <c r="F17" s="11" t="s">
        <v>25</v>
      </c>
      <c r="G17" s="11"/>
      <c r="I17" s="13"/>
      <c r="J17" s="13"/>
    </row>
    <row r="18">
      <c r="A18" s="8"/>
      <c r="B18" s="8"/>
      <c r="C18" s="9"/>
      <c r="D18" s="10"/>
      <c r="E18" s="11"/>
      <c r="F18" s="11" t="s">
        <v>30</v>
      </c>
      <c r="G18" s="11"/>
      <c r="H18" s="11"/>
      <c r="I18" s="13"/>
      <c r="J18" s="13"/>
    </row>
    <row r="19">
      <c r="A19" s="8" t="s">
        <v>44</v>
      </c>
      <c r="B19" s="8"/>
      <c r="C19" s="9" t="s">
        <v>28</v>
      </c>
      <c r="D19" s="10" t="s">
        <v>38</v>
      </c>
      <c r="E19" s="11" t="s">
        <v>21</v>
      </c>
      <c r="F19" s="11" t="s">
        <v>30</v>
      </c>
      <c r="G19" s="11"/>
      <c r="H19" s="11" t="s">
        <v>22</v>
      </c>
      <c r="I19" s="12" t="s">
        <v>31</v>
      </c>
      <c r="J19" s="12"/>
    </row>
    <row r="20">
      <c r="A20" s="8"/>
      <c r="B20" s="8"/>
      <c r="C20" s="9"/>
      <c r="D20" s="10"/>
      <c r="E20" s="11"/>
      <c r="F20" s="11"/>
      <c r="G20" s="11"/>
      <c r="H20" s="11" t="s">
        <v>18</v>
      </c>
      <c r="I20" s="12"/>
      <c r="J20" s="12"/>
    </row>
    <row r="21">
      <c r="A21" s="8"/>
      <c r="B21" s="8"/>
      <c r="C21" s="9"/>
      <c r="D21" s="10"/>
      <c r="E21" s="11"/>
      <c r="F21" s="11"/>
      <c r="G21" s="11"/>
      <c r="H21" s="11" t="s">
        <v>26</v>
      </c>
      <c r="I21" s="12"/>
      <c r="J21" s="12"/>
    </row>
    <row r="22">
      <c r="A22" s="8" t="s">
        <v>45</v>
      </c>
      <c r="B22" s="8"/>
      <c r="C22" s="9" t="s">
        <v>46</v>
      </c>
      <c r="D22" s="10" t="s">
        <v>47</v>
      </c>
      <c r="E22" s="11" t="s">
        <v>21</v>
      </c>
      <c r="F22" s="11" t="s">
        <v>30</v>
      </c>
      <c r="G22" s="11"/>
      <c r="H22" s="11" t="s">
        <v>22</v>
      </c>
      <c r="I22" s="12" t="s">
        <v>31</v>
      </c>
      <c r="J22" s="12"/>
    </row>
    <row r="23">
      <c r="A23" s="8"/>
      <c r="B23" s="8"/>
      <c r="C23" s="9"/>
      <c r="D23" s="10"/>
      <c r="F23" s="11" t="s">
        <v>24</v>
      </c>
      <c r="G23" s="11"/>
      <c r="H23" s="11" t="s">
        <v>18</v>
      </c>
      <c r="I23" s="13"/>
      <c r="J23" s="13"/>
    </row>
    <row r="24">
      <c r="A24" s="8" t="s">
        <v>48</v>
      </c>
      <c r="B24" s="8"/>
      <c r="C24" s="9" t="s">
        <v>28</v>
      </c>
      <c r="D24" s="10" t="s">
        <v>47</v>
      </c>
      <c r="E24" s="11" t="s">
        <v>21</v>
      </c>
      <c r="F24" s="11" t="s">
        <v>30</v>
      </c>
      <c r="G24" s="11"/>
      <c r="H24" s="11" t="s">
        <v>22</v>
      </c>
      <c r="I24" s="12" t="s">
        <v>31</v>
      </c>
      <c r="J24" s="12"/>
    </row>
    <row r="25">
      <c r="A25" s="8"/>
      <c r="B25" s="8"/>
      <c r="C25" s="9"/>
      <c r="D25" s="10"/>
      <c r="E25" s="11"/>
      <c r="F25" s="11"/>
      <c r="G25" s="11"/>
      <c r="H25" s="11" t="s">
        <v>18</v>
      </c>
      <c r="I25" s="12"/>
      <c r="J25" s="12"/>
    </row>
    <row r="26">
      <c r="A26" s="8"/>
      <c r="B26" s="8"/>
      <c r="C26" s="9"/>
      <c r="D26" s="10"/>
      <c r="E26" s="11"/>
      <c r="F26" s="11"/>
      <c r="G26" s="11"/>
      <c r="H26" s="11" t="s">
        <v>26</v>
      </c>
      <c r="I26" s="12"/>
      <c r="J26" s="12"/>
    </row>
    <row r="27">
      <c r="A27" s="8" t="s">
        <v>49</v>
      </c>
      <c r="B27" s="8"/>
      <c r="C27" s="9" t="s">
        <v>37</v>
      </c>
      <c r="D27" s="10" t="s">
        <v>47</v>
      </c>
      <c r="E27" s="11" t="s">
        <v>21</v>
      </c>
      <c r="F27" s="11" t="s">
        <v>30</v>
      </c>
      <c r="G27" s="11"/>
      <c r="H27" s="11" t="s">
        <v>22</v>
      </c>
      <c r="I27" s="12" t="s">
        <v>39</v>
      </c>
      <c r="J27" s="12"/>
    </row>
    <row r="28">
      <c r="A28" s="8"/>
      <c r="B28" s="8"/>
      <c r="C28" s="9"/>
      <c r="D28" s="10"/>
      <c r="F28" s="11" t="s">
        <v>43</v>
      </c>
      <c r="G28" s="11"/>
      <c r="H28" s="11" t="s">
        <v>18</v>
      </c>
      <c r="I28" s="13"/>
      <c r="J28" s="13"/>
    </row>
    <row r="29">
      <c r="A29" s="8"/>
      <c r="B29" s="8"/>
      <c r="C29" s="9"/>
      <c r="D29" s="10"/>
      <c r="F29" s="11"/>
      <c r="G29" s="11"/>
      <c r="H29" s="11" t="s">
        <v>26</v>
      </c>
      <c r="I29" s="13"/>
      <c r="J29" s="13"/>
    </row>
    <row r="30">
      <c r="A30" s="8" t="s">
        <v>50</v>
      </c>
      <c r="B30" s="8"/>
      <c r="C30" s="9" t="s">
        <v>28</v>
      </c>
      <c r="D30" s="10" t="s">
        <v>47</v>
      </c>
      <c r="E30" s="11" t="s">
        <v>21</v>
      </c>
      <c r="F30" s="11" t="s">
        <v>30</v>
      </c>
      <c r="G30" s="11"/>
      <c r="H30" s="11" t="s">
        <v>22</v>
      </c>
      <c r="I30" s="12" t="s">
        <v>31</v>
      </c>
      <c r="J30" s="12"/>
    </row>
    <row r="31">
      <c r="A31" s="8"/>
      <c r="B31" s="8"/>
      <c r="C31" s="9"/>
      <c r="D31" s="10"/>
      <c r="E31" s="11"/>
      <c r="F31" s="11"/>
      <c r="G31" s="11"/>
      <c r="H31" s="11" t="s">
        <v>18</v>
      </c>
      <c r="I31" s="12"/>
      <c r="J31" s="12"/>
    </row>
    <row r="32">
      <c r="A32" s="8"/>
      <c r="B32" s="8"/>
      <c r="C32" s="9"/>
      <c r="D32" s="10"/>
      <c r="E32" s="11"/>
      <c r="F32" s="11"/>
      <c r="G32" s="11"/>
      <c r="H32" s="11" t="s">
        <v>26</v>
      </c>
      <c r="I32" s="12"/>
      <c r="J32" s="12"/>
    </row>
    <row r="33">
      <c r="A33" s="8" t="s">
        <v>51</v>
      </c>
      <c r="B33" s="8"/>
      <c r="C33" s="9" t="s">
        <v>46</v>
      </c>
      <c r="D33" s="10" t="s">
        <v>47</v>
      </c>
      <c r="E33" s="11" t="s">
        <v>21</v>
      </c>
      <c r="F33" s="11" t="s">
        <v>30</v>
      </c>
      <c r="G33" s="11"/>
      <c r="H33" s="11" t="s">
        <v>22</v>
      </c>
      <c r="I33" s="12" t="s">
        <v>52</v>
      </c>
      <c r="J33" s="12"/>
    </row>
    <row r="34">
      <c r="A34" s="8"/>
      <c r="B34" s="8"/>
      <c r="C34" s="9"/>
      <c r="D34" s="10"/>
      <c r="E34" s="11"/>
      <c r="F34" s="11"/>
      <c r="G34" s="11"/>
      <c r="H34" s="11" t="s">
        <v>18</v>
      </c>
      <c r="I34" s="12"/>
      <c r="J34" s="12"/>
    </row>
    <row r="35">
      <c r="A35" s="8"/>
      <c r="B35" s="8"/>
      <c r="C35" s="9"/>
      <c r="D35" s="10"/>
      <c r="E35" s="11"/>
      <c r="F35" s="11"/>
      <c r="G35" s="11"/>
      <c r="H35" s="11" t="s">
        <v>26</v>
      </c>
      <c r="I35" s="12"/>
      <c r="J35" s="12"/>
    </row>
    <row r="36">
      <c r="A36" s="8" t="s">
        <v>53</v>
      </c>
      <c r="B36" s="8"/>
      <c r="C36" s="9" t="s">
        <v>54</v>
      </c>
      <c r="D36" s="10" t="s">
        <v>55</v>
      </c>
      <c r="E36" s="11" t="s">
        <v>21</v>
      </c>
      <c r="F36" s="11" t="s">
        <v>25</v>
      </c>
      <c r="G36" s="11"/>
      <c r="H36" s="11" t="s">
        <v>22</v>
      </c>
      <c r="I36" s="12" t="s">
        <v>56</v>
      </c>
      <c r="J36" s="12"/>
    </row>
    <row r="37">
      <c r="A37" s="8"/>
      <c r="B37" s="8"/>
      <c r="C37" s="10" t="s">
        <v>57</v>
      </c>
      <c r="D37" s="10"/>
      <c r="H37" s="11" t="s">
        <v>18</v>
      </c>
      <c r="I37" s="13"/>
      <c r="J37" s="13"/>
    </row>
    <row r="38">
      <c r="A38" s="8"/>
      <c r="B38" s="8"/>
      <c r="C38" s="10"/>
      <c r="D38" s="10"/>
      <c r="H38" s="11" t="s">
        <v>26</v>
      </c>
      <c r="I38" s="13"/>
      <c r="J38" s="13"/>
    </row>
    <row r="39">
      <c r="A39" s="8" t="s">
        <v>58</v>
      </c>
      <c r="B39" s="8"/>
      <c r="C39" s="9" t="s">
        <v>28</v>
      </c>
      <c r="D39" s="10" t="s">
        <v>55</v>
      </c>
      <c r="E39" s="11" t="s">
        <v>21</v>
      </c>
      <c r="F39" s="11" t="s">
        <v>30</v>
      </c>
      <c r="G39" s="11"/>
      <c r="H39" s="11" t="s">
        <v>22</v>
      </c>
      <c r="I39" s="12" t="s">
        <v>59</v>
      </c>
      <c r="J39" s="12"/>
    </row>
    <row r="40">
      <c r="A40" s="8"/>
      <c r="B40" s="8"/>
      <c r="C40" s="9"/>
      <c r="D40" s="10"/>
      <c r="E40" s="11"/>
      <c r="F40" s="11"/>
      <c r="G40" s="11"/>
      <c r="H40" s="11" t="s">
        <v>18</v>
      </c>
      <c r="I40" s="12"/>
      <c r="J40" s="12"/>
    </row>
    <row r="41">
      <c r="A41" s="8"/>
      <c r="B41" s="8"/>
      <c r="C41" s="9"/>
      <c r="D41" s="10"/>
      <c r="E41" s="11"/>
      <c r="F41" s="11"/>
      <c r="G41" s="11"/>
      <c r="H41" s="11" t="s">
        <v>26</v>
      </c>
      <c r="I41" s="12"/>
      <c r="J41" s="12"/>
    </row>
    <row r="42">
      <c r="A42" s="8" t="s">
        <v>60</v>
      </c>
      <c r="B42" s="8"/>
      <c r="C42" s="9" t="s">
        <v>28</v>
      </c>
      <c r="D42" s="10" t="s">
        <v>61</v>
      </c>
      <c r="E42" s="11" t="s">
        <v>21</v>
      </c>
      <c r="F42" s="11" t="s">
        <v>30</v>
      </c>
      <c r="G42" s="11"/>
      <c r="H42" s="11" t="s">
        <v>22</v>
      </c>
      <c r="I42" s="12" t="s">
        <v>59</v>
      </c>
      <c r="J42" s="12"/>
    </row>
    <row r="43">
      <c r="A43" s="8"/>
      <c r="B43" s="8"/>
      <c r="C43" s="9"/>
      <c r="D43" s="10"/>
      <c r="F43" s="11" t="s">
        <v>43</v>
      </c>
      <c r="G43" s="11"/>
      <c r="H43" s="11" t="s">
        <v>18</v>
      </c>
      <c r="I43" s="13"/>
      <c r="J43" s="13"/>
    </row>
    <row r="44">
      <c r="A44" s="8"/>
      <c r="B44" s="8"/>
      <c r="C44" s="9"/>
      <c r="D44" s="10"/>
      <c r="F44" s="11"/>
      <c r="G44" s="11"/>
      <c r="H44" s="11" t="s">
        <v>26</v>
      </c>
      <c r="I44" s="13"/>
      <c r="J44" s="13"/>
    </row>
    <row r="45">
      <c r="A45" s="8" t="s">
        <v>62</v>
      </c>
      <c r="B45" s="8"/>
      <c r="C45" s="9" t="s">
        <v>63</v>
      </c>
      <c r="D45" s="10" t="s">
        <v>61</v>
      </c>
      <c r="E45" s="11" t="s">
        <v>21</v>
      </c>
      <c r="F45" s="11" t="s">
        <v>30</v>
      </c>
      <c r="G45" s="11"/>
      <c r="H45" s="11" t="s">
        <v>22</v>
      </c>
      <c r="I45" s="12" t="s">
        <v>64</v>
      </c>
      <c r="J45" s="12"/>
    </row>
    <row r="46">
      <c r="A46" s="8"/>
      <c r="B46" s="8"/>
      <c r="C46" s="9"/>
      <c r="D46" s="10"/>
      <c r="F46" s="11" t="s">
        <v>65</v>
      </c>
      <c r="G46" s="11"/>
      <c r="H46" s="11" t="s">
        <v>18</v>
      </c>
      <c r="I46" s="13"/>
      <c r="J46" s="13"/>
    </row>
    <row r="47">
      <c r="A47" s="8"/>
      <c r="B47" s="8"/>
      <c r="C47" s="9"/>
      <c r="D47" s="10"/>
      <c r="F47" s="11"/>
      <c r="G47" s="11"/>
      <c r="H47" s="11" t="s">
        <v>26</v>
      </c>
      <c r="I47" s="13"/>
      <c r="J47" s="13"/>
    </row>
    <row r="48">
      <c r="A48" s="8" t="s">
        <v>66</v>
      </c>
      <c r="B48" s="8"/>
      <c r="C48" s="9" t="s">
        <v>63</v>
      </c>
      <c r="D48" s="10" t="s">
        <v>61</v>
      </c>
      <c r="E48" s="11" t="s">
        <v>21</v>
      </c>
      <c r="F48" s="11" t="s">
        <v>30</v>
      </c>
      <c r="G48" s="11"/>
      <c r="H48" s="11" t="s">
        <v>22</v>
      </c>
      <c r="I48" s="12" t="s">
        <v>67</v>
      </c>
      <c r="J48" s="12"/>
    </row>
    <row r="49">
      <c r="A49" s="8"/>
      <c r="B49" s="8"/>
      <c r="C49" s="9"/>
      <c r="D49" s="10"/>
      <c r="F49" s="11" t="s">
        <v>43</v>
      </c>
      <c r="G49" s="11"/>
      <c r="H49" s="11" t="s">
        <v>18</v>
      </c>
      <c r="I49" s="13"/>
      <c r="J49" s="13"/>
    </row>
    <row r="50">
      <c r="A50" s="8"/>
      <c r="B50" s="8"/>
      <c r="C50" s="9"/>
      <c r="D50" s="10"/>
      <c r="F50" s="11"/>
      <c r="G50" s="11"/>
      <c r="H50" s="11" t="s">
        <v>26</v>
      </c>
      <c r="I50" s="13"/>
      <c r="J50" s="13"/>
    </row>
    <row r="51">
      <c r="A51" s="8" t="s">
        <v>68</v>
      </c>
      <c r="B51" s="8"/>
      <c r="C51" s="9" t="s">
        <v>28</v>
      </c>
      <c r="D51" s="10" t="s">
        <v>61</v>
      </c>
      <c r="E51" s="11" t="s">
        <v>21</v>
      </c>
      <c r="F51" s="11" t="s">
        <v>30</v>
      </c>
      <c r="G51" s="11"/>
      <c r="H51" s="11" t="s">
        <v>22</v>
      </c>
      <c r="I51" s="12" t="s">
        <v>59</v>
      </c>
      <c r="J51" s="12"/>
    </row>
    <row r="52">
      <c r="A52" s="8"/>
      <c r="B52" s="8"/>
      <c r="C52" s="9"/>
      <c r="D52" s="10"/>
      <c r="E52" s="11"/>
      <c r="F52" s="11"/>
      <c r="G52" s="11"/>
      <c r="H52" s="11" t="s">
        <v>18</v>
      </c>
      <c r="I52" s="12"/>
      <c r="J52" s="12"/>
    </row>
    <row r="53">
      <c r="A53" s="8"/>
      <c r="B53" s="8"/>
      <c r="C53" s="9"/>
      <c r="D53" s="10"/>
      <c r="E53" s="11"/>
      <c r="F53" s="11"/>
      <c r="G53" s="11"/>
      <c r="H53" s="11" t="s">
        <v>26</v>
      </c>
      <c r="I53" s="12"/>
      <c r="J53" s="12"/>
    </row>
    <row r="54">
      <c r="A54" s="8" t="s">
        <v>69</v>
      </c>
      <c r="B54" s="8"/>
      <c r="C54" s="9" t="s">
        <v>28</v>
      </c>
      <c r="D54" s="10" t="s">
        <v>61</v>
      </c>
      <c r="E54" s="11" t="s">
        <v>21</v>
      </c>
      <c r="F54" s="11" t="s">
        <v>30</v>
      </c>
      <c r="G54" s="11"/>
      <c r="H54" s="11" t="s">
        <v>22</v>
      </c>
      <c r="I54" s="12" t="s">
        <v>59</v>
      </c>
      <c r="J54" s="12"/>
    </row>
    <row r="55">
      <c r="A55" s="8"/>
      <c r="B55" s="8"/>
      <c r="C55" s="9"/>
      <c r="D55" s="10"/>
      <c r="E55" s="11"/>
      <c r="F55" s="11"/>
      <c r="G55" s="11"/>
      <c r="H55" s="11" t="s">
        <v>18</v>
      </c>
      <c r="I55" s="12"/>
      <c r="J55" s="12"/>
    </row>
    <row r="56">
      <c r="A56" s="8"/>
      <c r="B56" s="8"/>
      <c r="C56" s="9"/>
      <c r="D56" s="10"/>
      <c r="E56" s="11"/>
      <c r="F56" s="11"/>
      <c r="G56" s="11"/>
      <c r="H56" s="11" t="s">
        <v>26</v>
      </c>
      <c r="I56" s="12"/>
      <c r="J56" s="12"/>
    </row>
    <row r="57">
      <c r="A57" s="8" t="s">
        <v>70</v>
      </c>
      <c r="B57" s="8"/>
      <c r="C57" s="9" t="s">
        <v>28</v>
      </c>
      <c r="D57" s="10" t="s">
        <v>61</v>
      </c>
      <c r="E57" s="11" t="s">
        <v>21</v>
      </c>
      <c r="F57" s="11" t="s">
        <v>30</v>
      </c>
      <c r="G57" s="11"/>
      <c r="H57" s="11" t="s">
        <v>22</v>
      </c>
      <c r="I57" s="12" t="s">
        <v>59</v>
      </c>
      <c r="J57" s="12"/>
    </row>
    <row r="58">
      <c r="A58" s="8"/>
      <c r="B58" s="8"/>
      <c r="C58" s="9"/>
      <c r="D58" s="10"/>
      <c r="E58" s="11"/>
      <c r="F58" s="11"/>
      <c r="G58" s="11"/>
      <c r="H58" s="11" t="s">
        <v>18</v>
      </c>
      <c r="I58" s="12" t="s">
        <v>71</v>
      </c>
      <c r="J58" s="12"/>
    </row>
    <row r="59">
      <c r="A59" s="8"/>
      <c r="B59" s="8"/>
      <c r="C59" s="9"/>
      <c r="D59" s="10"/>
      <c r="E59" s="11"/>
      <c r="F59" s="11"/>
      <c r="G59" s="11"/>
      <c r="H59" s="11" t="s">
        <v>26</v>
      </c>
      <c r="I59" s="12"/>
      <c r="J59" s="12"/>
    </row>
    <row r="60">
      <c r="A60" s="8" t="s">
        <v>72</v>
      </c>
      <c r="B60" s="8"/>
      <c r="C60" s="9" t="s">
        <v>73</v>
      </c>
      <c r="D60" s="10" t="s">
        <v>74</v>
      </c>
      <c r="E60" s="11" t="s">
        <v>14</v>
      </c>
      <c r="F60" s="11" t="s">
        <v>15</v>
      </c>
      <c r="G60" s="11"/>
      <c r="H60" s="11" t="s">
        <v>18</v>
      </c>
      <c r="I60" s="12" t="s">
        <v>75</v>
      </c>
      <c r="J60" s="12"/>
    </row>
    <row r="61">
      <c r="A61" s="8"/>
      <c r="B61" s="8"/>
      <c r="C61" s="9"/>
      <c r="D61" s="10"/>
      <c r="F61" s="11" t="s">
        <v>30</v>
      </c>
      <c r="G61" s="11"/>
      <c r="H61" s="11" t="s">
        <v>26</v>
      </c>
      <c r="I61" s="13"/>
      <c r="J61" s="13"/>
    </row>
    <row r="62">
      <c r="A62" s="8" t="s">
        <v>76</v>
      </c>
      <c r="B62" s="8"/>
      <c r="C62" s="9" t="s">
        <v>77</v>
      </c>
      <c r="D62" s="10" t="s">
        <v>78</v>
      </c>
      <c r="E62" s="11" t="s">
        <v>21</v>
      </c>
      <c r="F62" s="11" t="s">
        <v>79</v>
      </c>
      <c r="G62" s="11"/>
      <c r="H62" s="11" t="s">
        <v>22</v>
      </c>
      <c r="I62" s="12" t="s">
        <v>80</v>
      </c>
      <c r="J62" s="12"/>
    </row>
    <row r="63">
      <c r="A63" s="8"/>
      <c r="B63" s="8"/>
      <c r="C63" s="10" t="s">
        <v>81</v>
      </c>
      <c r="D63" s="10"/>
      <c r="F63" s="11" t="s">
        <v>30</v>
      </c>
      <c r="G63" s="11"/>
      <c r="H63" s="11" t="s">
        <v>18</v>
      </c>
      <c r="I63" s="13"/>
      <c r="J63" s="13"/>
    </row>
    <row r="64">
      <c r="A64" s="8"/>
      <c r="B64" s="8"/>
      <c r="C64" s="9"/>
      <c r="D64" s="10"/>
      <c r="F64" s="11" t="s">
        <v>82</v>
      </c>
      <c r="G64" s="11"/>
      <c r="H64" s="11" t="s">
        <v>26</v>
      </c>
      <c r="I64" s="13"/>
      <c r="J64" s="13"/>
    </row>
    <row r="65">
      <c r="A65" s="8"/>
      <c r="B65" s="8"/>
      <c r="C65" s="9"/>
      <c r="D65" s="10"/>
      <c r="F65" s="11" t="s">
        <v>83</v>
      </c>
      <c r="G65" s="11"/>
      <c r="I65" s="13"/>
      <c r="J65" s="13"/>
    </row>
    <row r="66">
      <c r="A66" s="8" t="s">
        <v>84</v>
      </c>
      <c r="B66" s="8"/>
      <c r="C66" s="9" t="s">
        <v>63</v>
      </c>
      <c r="D66" s="10" t="s">
        <v>78</v>
      </c>
      <c r="E66" s="11" t="s">
        <v>21</v>
      </c>
      <c r="F66" s="11" t="s">
        <v>30</v>
      </c>
      <c r="G66" s="11"/>
      <c r="H66" s="11" t="s">
        <v>22</v>
      </c>
      <c r="I66" s="12" t="s">
        <v>85</v>
      </c>
      <c r="J66" s="12"/>
    </row>
    <row r="67">
      <c r="A67" s="8"/>
      <c r="B67" s="8"/>
      <c r="C67" s="10" t="s">
        <v>86</v>
      </c>
      <c r="D67" s="10"/>
      <c r="F67" s="11" t="s">
        <v>43</v>
      </c>
      <c r="G67" s="11"/>
      <c r="H67" s="11" t="s">
        <v>18</v>
      </c>
      <c r="I67" s="13"/>
      <c r="J67" s="13"/>
    </row>
    <row r="68">
      <c r="A68" s="8"/>
      <c r="B68" s="8"/>
      <c r="C68" s="10"/>
      <c r="D68" s="10"/>
      <c r="F68" s="11"/>
      <c r="G68" s="11"/>
      <c r="H68" s="11" t="s">
        <v>26</v>
      </c>
      <c r="I68" s="13"/>
      <c r="J68" s="13"/>
    </row>
    <row r="69">
      <c r="A69" s="8" t="s">
        <v>87</v>
      </c>
      <c r="B69" s="8"/>
      <c r="C69" s="9" t="s">
        <v>88</v>
      </c>
      <c r="D69" s="10" t="s">
        <v>89</v>
      </c>
      <c r="E69" s="11" t="s">
        <v>90</v>
      </c>
      <c r="F69" s="11" t="s">
        <v>91</v>
      </c>
      <c r="G69" s="11"/>
      <c r="H69" s="11" t="s">
        <v>18</v>
      </c>
      <c r="I69" s="12" t="s">
        <v>92</v>
      </c>
      <c r="J69" s="12"/>
    </row>
    <row r="70">
      <c r="A70" s="8"/>
      <c r="B70" s="8"/>
      <c r="C70" s="10" t="s">
        <v>93</v>
      </c>
      <c r="D70" s="10"/>
      <c r="F70" s="11" t="s">
        <v>94</v>
      </c>
      <c r="G70" s="11"/>
      <c r="H70" s="11" t="s">
        <v>26</v>
      </c>
      <c r="I70" s="13"/>
      <c r="J70" s="13"/>
    </row>
    <row r="71">
      <c r="A71" s="8"/>
      <c r="B71" s="8"/>
      <c r="C71" s="9"/>
      <c r="D71" s="10"/>
      <c r="F71" s="11" t="s">
        <v>17</v>
      </c>
      <c r="G71" s="11"/>
      <c r="I71" s="13"/>
      <c r="J71" s="13"/>
    </row>
    <row r="72">
      <c r="A72" s="8"/>
      <c r="B72" s="8"/>
      <c r="C72" s="9"/>
      <c r="D72" s="10"/>
      <c r="F72" s="11" t="s">
        <v>95</v>
      </c>
      <c r="G72" s="11"/>
      <c r="I72" s="13"/>
      <c r="J72" s="13"/>
    </row>
    <row r="73">
      <c r="A73" s="8" t="s">
        <v>96</v>
      </c>
      <c r="B73" s="8"/>
      <c r="C73" s="9" t="s">
        <v>97</v>
      </c>
      <c r="D73" s="10" t="s">
        <v>89</v>
      </c>
      <c r="E73" s="11" t="s">
        <v>98</v>
      </c>
      <c r="F73" s="11" t="s">
        <v>17</v>
      </c>
      <c r="G73" s="11"/>
      <c r="H73" s="11" t="s">
        <v>18</v>
      </c>
      <c r="I73" s="12" t="s">
        <v>99</v>
      </c>
      <c r="J73" s="12"/>
    </row>
    <row r="74">
      <c r="A74" s="8" t="s">
        <v>100</v>
      </c>
      <c r="B74" s="8"/>
      <c r="C74" s="9" t="s">
        <v>28</v>
      </c>
      <c r="D74" s="10" t="s">
        <v>89</v>
      </c>
      <c r="E74" s="11" t="s">
        <v>21</v>
      </c>
      <c r="F74" s="11" t="s">
        <v>30</v>
      </c>
      <c r="G74" s="11"/>
      <c r="H74" s="11" t="s">
        <v>22</v>
      </c>
      <c r="I74" s="12" t="s">
        <v>101</v>
      </c>
      <c r="J74" s="12"/>
    </row>
    <row r="75">
      <c r="A75" s="8"/>
      <c r="B75" s="8"/>
      <c r="C75" s="9"/>
      <c r="D75" s="10"/>
      <c r="E75" s="11"/>
      <c r="F75" s="11"/>
      <c r="G75" s="11"/>
      <c r="H75" s="11" t="s">
        <v>18</v>
      </c>
      <c r="I75" s="12"/>
      <c r="J75" s="12"/>
    </row>
    <row r="76">
      <c r="A76" s="8"/>
      <c r="B76" s="8"/>
      <c r="C76" s="9"/>
      <c r="D76" s="10"/>
      <c r="E76" s="11"/>
      <c r="F76" s="11"/>
      <c r="G76" s="11"/>
      <c r="H76" s="11" t="s">
        <v>26</v>
      </c>
      <c r="I76" s="12"/>
      <c r="J76" s="12"/>
    </row>
    <row r="77">
      <c r="A77" s="8" t="s">
        <v>102</v>
      </c>
      <c r="B77" s="8"/>
      <c r="C77" s="9" t="s">
        <v>28</v>
      </c>
      <c r="D77" s="10" t="s">
        <v>103</v>
      </c>
      <c r="E77" s="11" t="s">
        <v>21</v>
      </c>
      <c r="F77" s="11" t="s">
        <v>30</v>
      </c>
      <c r="G77" s="11"/>
      <c r="H77" s="11" t="s">
        <v>22</v>
      </c>
      <c r="I77" s="12" t="s">
        <v>104</v>
      </c>
      <c r="J77" s="12"/>
    </row>
    <row r="78">
      <c r="A78" s="8"/>
      <c r="B78" s="8"/>
      <c r="C78" s="9"/>
      <c r="D78" s="10"/>
      <c r="E78" s="11"/>
      <c r="F78" s="11"/>
      <c r="G78" s="11"/>
      <c r="H78" s="11" t="s">
        <v>18</v>
      </c>
      <c r="I78" s="12"/>
      <c r="J78" s="12"/>
    </row>
    <row r="79">
      <c r="A79" s="8"/>
      <c r="B79" s="8"/>
      <c r="C79" s="9"/>
      <c r="D79" s="10"/>
      <c r="E79" s="11"/>
      <c r="F79" s="11"/>
      <c r="G79" s="11"/>
      <c r="H79" s="11" t="s">
        <v>26</v>
      </c>
      <c r="I79" s="12"/>
      <c r="J79" s="12"/>
    </row>
    <row r="80">
      <c r="A80" s="8" t="s">
        <v>105</v>
      </c>
      <c r="B80" s="8"/>
      <c r="C80" s="9" t="s">
        <v>106</v>
      </c>
      <c r="D80" s="10" t="s">
        <v>103</v>
      </c>
      <c r="E80" s="11" t="s">
        <v>107</v>
      </c>
      <c r="F80" s="11" t="s">
        <v>108</v>
      </c>
      <c r="G80" s="11"/>
      <c r="H80" s="11" t="s">
        <v>18</v>
      </c>
      <c r="I80" s="12" t="s">
        <v>109</v>
      </c>
      <c r="J80" s="12"/>
    </row>
    <row r="81">
      <c r="A81" s="8"/>
      <c r="B81" s="8"/>
      <c r="C81" s="9"/>
      <c r="D81" s="10"/>
      <c r="F81" s="11" t="s">
        <v>83</v>
      </c>
      <c r="G81" s="11"/>
      <c r="H81" s="11" t="s">
        <v>26</v>
      </c>
      <c r="I81" s="13"/>
      <c r="J81" s="13"/>
    </row>
    <row r="82">
      <c r="A82" s="8" t="s">
        <v>110</v>
      </c>
      <c r="B82" s="8"/>
      <c r="C82" s="9" t="s">
        <v>111</v>
      </c>
      <c r="D82" s="10" t="s">
        <v>103</v>
      </c>
      <c r="E82" s="11" t="s">
        <v>21</v>
      </c>
      <c r="F82" s="11" t="s">
        <v>25</v>
      </c>
      <c r="G82" s="11"/>
      <c r="H82" s="11" t="s">
        <v>22</v>
      </c>
      <c r="I82" s="12" t="s">
        <v>112</v>
      </c>
      <c r="J82" s="12"/>
    </row>
    <row r="83">
      <c r="A83" s="8"/>
      <c r="B83" s="8"/>
      <c r="C83" s="9"/>
      <c r="D83" s="10"/>
      <c r="F83" s="11" t="s">
        <v>30</v>
      </c>
      <c r="G83" s="11"/>
      <c r="H83" s="11" t="s">
        <v>18</v>
      </c>
      <c r="I83" s="13"/>
      <c r="J83" s="13"/>
    </row>
    <row r="84">
      <c r="A84" s="8"/>
      <c r="B84" s="8"/>
      <c r="C84" s="9"/>
      <c r="D84" s="10"/>
      <c r="F84" s="11" t="s">
        <v>43</v>
      </c>
      <c r="G84" s="11"/>
      <c r="H84" s="11" t="s">
        <v>26</v>
      </c>
      <c r="I84" s="13"/>
      <c r="J84" s="13"/>
    </row>
    <row r="85">
      <c r="A85" s="8" t="s">
        <v>113</v>
      </c>
      <c r="B85" s="8"/>
      <c r="C85" s="9" t="s">
        <v>111</v>
      </c>
      <c r="D85" s="10" t="s">
        <v>103</v>
      </c>
      <c r="E85" s="11" t="s">
        <v>21</v>
      </c>
      <c r="F85" s="11" t="s">
        <v>25</v>
      </c>
      <c r="G85" s="11"/>
      <c r="H85" s="11" t="s">
        <v>22</v>
      </c>
      <c r="I85" s="12" t="s">
        <v>112</v>
      </c>
      <c r="J85" s="12"/>
    </row>
    <row r="86">
      <c r="A86" s="8"/>
      <c r="B86" s="8"/>
      <c r="C86" s="9"/>
      <c r="D86" s="10"/>
      <c r="F86" s="11" t="s">
        <v>43</v>
      </c>
      <c r="G86" s="11"/>
      <c r="H86" s="11" t="s">
        <v>18</v>
      </c>
      <c r="I86" s="13"/>
      <c r="J86" s="13"/>
    </row>
    <row r="87">
      <c r="A87" s="8"/>
      <c r="B87" s="8"/>
      <c r="C87" s="9"/>
      <c r="D87" s="10"/>
      <c r="F87" s="11"/>
      <c r="G87" s="11"/>
      <c r="H87" s="11" t="s">
        <v>26</v>
      </c>
      <c r="I87" s="13"/>
      <c r="J87" s="13"/>
    </row>
    <row r="88">
      <c r="A88" s="8" t="s">
        <v>114</v>
      </c>
      <c r="B88" s="8"/>
      <c r="C88" s="9" t="s">
        <v>28</v>
      </c>
      <c r="D88" s="10" t="s">
        <v>103</v>
      </c>
      <c r="E88" s="11" t="s">
        <v>21</v>
      </c>
      <c r="F88" s="11" t="s">
        <v>30</v>
      </c>
      <c r="G88" s="11"/>
      <c r="H88" s="11" t="s">
        <v>22</v>
      </c>
      <c r="I88" s="12" t="s">
        <v>101</v>
      </c>
      <c r="J88" s="12"/>
    </row>
    <row r="89">
      <c r="A89" s="8"/>
      <c r="B89" s="8"/>
      <c r="C89" s="9"/>
      <c r="D89" s="10"/>
      <c r="E89" s="11"/>
      <c r="F89" s="11" t="s">
        <v>43</v>
      </c>
      <c r="G89" s="11"/>
      <c r="H89" s="11" t="s">
        <v>18</v>
      </c>
      <c r="I89" s="13"/>
      <c r="J89" s="13"/>
    </row>
    <row r="90">
      <c r="A90" s="8"/>
      <c r="B90" s="8"/>
      <c r="C90" s="9"/>
      <c r="D90" s="10"/>
      <c r="E90" s="11"/>
      <c r="F90" s="11"/>
      <c r="G90" s="11"/>
      <c r="H90" s="11" t="s">
        <v>26</v>
      </c>
      <c r="I90" s="13"/>
      <c r="J90" s="13"/>
    </row>
    <row r="91">
      <c r="A91" s="8" t="s">
        <v>115</v>
      </c>
      <c r="B91" s="8"/>
      <c r="C91" s="9" t="s">
        <v>111</v>
      </c>
      <c r="D91" s="10" t="s">
        <v>103</v>
      </c>
      <c r="E91" s="11" t="s">
        <v>21</v>
      </c>
      <c r="F91" s="11" t="s">
        <v>25</v>
      </c>
      <c r="G91" s="11"/>
      <c r="H91" s="11" t="s">
        <v>22</v>
      </c>
      <c r="I91" s="12" t="s">
        <v>112</v>
      </c>
      <c r="J91" s="12"/>
    </row>
    <row r="92">
      <c r="A92" s="8"/>
      <c r="B92" s="8"/>
      <c r="C92" s="9"/>
      <c r="D92" s="10"/>
      <c r="F92" s="11" t="s">
        <v>30</v>
      </c>
      <c r="G92" s="11"/>
      <c r="H92" s="11" t="s">
        <v>18</v>
      </c>
      <c r="I92" s="13"/>
      <c r="J92" s="13"/>
    </row>
    <row r="93">
      <c r="A93" s="8"/>
      <c r="B93" s="8"/>
      <c r="C93" s="9"/>
      <c r="D93" s="10"/>
      <c r="F93" s="11"/>
      <c r="G93" s="11"/>
      <c r="H93" s="11" t="s">
        <v>26</v>
      </c>
      <c r="I93" s="13"/>
      <c r="J93" s="13"/>
    </row>
    <row r="94">
      <c r="A94" s="8" t="s">
        <v>116</v>
      </c>
      <c r="B94" s="8"/>
      <c r="C94" s="9" t="s">
        <v>41</v>
      </c>
      <c r="D94" s="10" t="s">
        <v>103</v>
      </c>
      <c r="E94" s="11" t="s">
        <v>107</v>
      </c>
      <c r="F94" s="11" t="s">
        <v>30</v>
      </c>
      <c r="G94" s="11"/>
      <c r="H94" s="11" t="s">
        <v>18</v>
      </c>
      <c r="I94" s="12" t="s">
        <v>109</v>
      </c>
      <c r="J94" s="12"/>
    </row>
    <row r="95">
      <c r="A95" s="8"/>
      <c r="B95" s="8"/>
      <c r="C95" s="9"/>
      <c r="D95" s="10"/>
      <c r="E95" s="11"/>
      <c r="F95" s="11"/>
      <c r="G95" s="11"/>
      <c r="H95" s="11" t="s">
        <v>26</v>
      </c>
      <c r="I95" s="12"/>
      <c r="J95" s="12"/>
    </row>
    <row r="96">
      <c r="A96" s="8" t="s">
        <v>117</v>
      </c>
      <c r="B96" s="8"/>
      <c r="C96" s="9" t="s">
        <v>97</v>
      </c>
      <c r="D96" s="10" t="s">
        <v>118</v>
      </c>
      <c r="E96" s="11" t="s">
        <v>98</v>
      </c>
      <c r="I96" s="12" t="s">
        <v>119</v>
      </c>
      <c r="J96" s="12"/>
    </row>
    <row r="97">
      <c r="A97" s="8" t="s">
        <v>120</v>
      </c>
      <c r="B97" s="8"/>
      <c r="C97" s="9" t="s">
        <v>97</v>
      </c>
      <c r="D97" s="10" t="s">
        <v>118</v>
      </c>
      <c r="E97" s="11" t="s">
        <v>98</v>
      </c>
      <c r="I97" s="12" t="s">
        <v>119</v>
      </c>
      <c r="J97" s="12"/>
    </row>
    <row r="98">
      <c r="A98" s="8" t="s">
        <v>121</v>
      </c>
      <c r="B98" s="8"/>
      <c r="C98" s="9" t="s">
        <v>111</v>
      </c>
      <c r="D98" s="10" t="s">
        <v>118</v>
      </c>
      <c r="E98" s="11" t="s">
        <v>21</v>
      </c>
      <c r="F98" s="11" t="s">
        <v>30</v>
      </c>
      <c r="G98" s="11"/>
      <c r="H98" s="11" t="s">
        <v>22</v>
      </c>
      <c r="I98" s="12" t="s">
        <v>122</v>
      </c>
      <c r="J98" s="12"/>
    </row>
    <row r="99">
      <c r="A99" s="8"/>
      <c r="B99" s="8"/>
      <c r="C99" s="9"/>
      <c r="D99" s="10"/>
      <c r="E99" s="11"/>
      <c r="F99" s="11"/>
      <c r="G99" s="11"/>
      <c r="H99" s="11" t="s">
        <v>18</v>
      </c>
      <c r="I99" s="12"/>
      <c r="J99" s="12"/>
    </row>
    <row r="100">
      <c r="A100" s="8"/>
      <c r="B100" s="8"/>
      <c r="C100" s="9"/>
      <c r="D100" s="10"/>
      <c r="E100" s="11"/>
      <c r="F100" s="11"/>
      <c r="G100" s="11"/>
      <c r="H100" s="11" t="s">
        <v>26</v>
      </c>
      <c r="I100" s="12"/>
      <c r="J100" s="12"/>
    </row>
    <row r="101">
      <c r="A101" s="8" t="s">
        <v>123</v>
      </c>
      <c r="B101" s="8"/>
      <c r="C101" s="9" t="s">
        <v>73</v>
      </c>
      <c r="D101" s="10" t="s">
        <v>118</v>
      </c>
      <c r="E101" s="11" t="s">
        <v>14</v>
      </c>
      <c r="F101" s="11" t="s">
        <v>15</v>
      </c>
      <c r="G101" s="11"/>
      <c r="H101" s="11" t="s">
        <v>18</v>
      </c>
      <c r="I101" s="12" t="s">
        <v>124</v>
      </c>
      <c r="J101" s="12"/>
    </row>
    <row r="102">
      <c r="A102" s="8"/>
      <c r="B102" s="8"/>
      <c r="C102" s="9"/>
      <c r="D102" s="10"/>
      <c r="F102" s="11" t="s">
        <v>30</v>
      </c>
      <c r="G102" s="11"/>
      <c r="H102" s="11" t="s">
        <v>26</v>
      </c>
      <c r="I102" s="13"/>
      <c r="J102" s="13"/>
    </row>
    <row r="103">
      <c r="A103" s="8"/>
      <c r="B103" s="8"/>
      <c r="C103" s="9"/>
      <c r="D103" s="10"/>
      <c r="F103" s="11" t="s">
        <v>17</v>
      </c>
      <c r="G103" s="11"/>
      <c r="I103" s="13"/>
      <c r="J103" s="13"/>
    </row>
    <row r="104">
      <c r="A104" s="8" t="s">
        <v>125</v>
      </c>
      <c r="B104" s="8"/>
      <c r="C104" s="9" t="s">
        <v>111</v>
      </c>
      <c r="D104" s="10" t="s">
        <v>126</v>
      </c>
      <c r="E104" s="11" t="s">
        <v>21</v>
      </c>
      <c r="F104" s="11" t="s">
        <v>25</v>
      </c>
      <c r="G104" s="11"/>
      <c r="H104" s="11" t="s">
        <v>22</v>
      </c>
      <c r="I104" s="12" t="s">
        <v>112</v>
      </c>
      <c r="J104" s="12"/>
    </row>
    <row r="105">
      <c r="A105" s="8"/>
      <c r="B105" s="8"/>
      <c r="C105" s="9"/>
      <c r="D105" s="10"/>
      <c r="F105" s="11" t="s">
        <v>30</v>
      </c>
      <c r="G105" s="11"/>
      <c r="I105" s="13"/>
      <c r="J105" s="13"/>
    </row>
    <row r="106">
      <c r="A106" s="8"/>
      <c r="B106" s="8"/>
      <c r="C106" s="9"/>
      <c r="D106" s="10"/>
      <c r="F106" s="11" t="s">
        <v>43</v>
      </c>
      <c r="G106" s="11"/>
      <c r="I106" s="13"/>
      <c r="J106" s="13"/>
    </row>
    <row r="107">
      <c r="A107" s="8" t="s">
        <v>127</v>
      </c>
      <c r="B107" s="8"/>
      <c r="C107" s="9" t="s">
        <v>111</v>
      </c>
      <c r="D107" s="10" t="s">
        <v>128</v>
      </c>
      <c r="E107" s="11" t="s">
        <v>21</v>
      </c>
      <c r="F107" s="11" t="s">
        <v>30</v>
      </c>
      <c r="G107" s="11"/>
      <c r="H107" s="11" t="s">
        <v>22</v>
      </c>
      <c r="I107" s="12" t="s">
        <v>112</v>
      </c>
      <c r="J107" s="12"/>
    </row>
    <row r="108">
      <c r="A108" s="8"/>
      <c r="B108" s="8"/>
      <c r="C108" s="9"/>
      <c r="D108" s="10"/>
      <c r="F108" s="11" t="s">
        <v>43</v>
      </c>
      <c r="G108" s="11"/>
      <c r="I108" s="13"/>
      <c r="J108" s="13"/>
    </row>
    <row r="109">
      <c r="A109" s="8" t="s">
        <v>129</v>
      </c>
      <c r="B109" s="8"/>
      <c r="C109" s="9" t="s">
        <v>111</v>
      </c>
      <c r="D109" s="10" t="s">
        <v>128</v>
      </c>
      <c r="E109" s="11" t="s">
        <v>21</v>
      </c>
      <c r="F109" s="11" t="s">
        <v>30</v>
      </c>
      <c r="G109" s="11"/>
      <c r="H109" s="11" t="s">
        <v>22</v>
      </c>
      <c r="I109" s="12" t="s">
        <v>112</v>
      </c>
      <c r="J109" s="12"/>
    </row>
    <row r="110">
      <c r="A110" s="8"/>
      <c r="B110" s="8"/>
      <c r="C110" s="9"/>
      <c r="D110" s="10"/>
      <c r="F110" s="11" t="s">
        <v>43</v>
      </c>
      <c r="G110" s="11"/>
      <c r="H110" s="11" t="s">
        <v>130</v>
      </c>
      <c r="I110" s="13"/>
      <c r="J110" s="13"/>
    </row>
    <row r="111">
      <c r="A111" s="8" t="s">
        <v>131</v>
      </c>
      <c r="B111" s="8"/>
      <c r="C111" s="9" t="s">
        <v>132</v>
      </c>
      <c r="D111" s="10" t="s">
        <v>133</v>
      </c>
      <c r="E111" s="11" t="s">
        <v>90</v>
      </c>
      <c r="F111" s="11" t="s">
        <v>30</v>
      </c>
      <c r="G111" s="11"/>
      <c r="H111" s="11" t="s">
        <v>22</v>
      </c>
      <c r="I111" s="12" t="s">
        <v>134</v>
      </c>
      <c r="J111" s="12"/>
    </row>
    <row r="112">
      <c r="A112" s="8"/>
      <c r="B112" s="8"/>
      <c r="C112" s="10" t="s">
        <v>135</v>
      </c>
      <c r="D112" s="10"/>
      <c r="F112" s="11" t="s">
        <v>43</v>
      </c>
      <c r="G112" s="11"/>
      <c r="H112" s="11" t="s">
        <v>130</v>
      </c>
      <c r="I112" s="13"/>
      <c r="J112" s="13"/>
    </row>
    <row r="113">
      <c r="A113" s="8" t="s">
        <v>136</v>
      </c>
      <c r="B113" s="8"/>
      <c r="C113" s="9" t="s">
        <v>111</v>
      </c>
      <c r="D113" s="10" t="s">
        <v>133</v>
      </c>
      <c r="E113" s="11" t="s">
        <v>21</v>
      </c>
      <c r="F113" s="11" t="s">
        <v>30</v>
      </c>
      <c r="G113" s="11"/>
      <c r="H113" s="11" t="s">
        <v>22</v>
      </c>
      <c r="I113" s="12" t="s">
        <v>112</v>
      </c>
      <c r="J113" s="12"/>
    </row>
    <row r="114">
      <c r="A114" s="8"/>
      <c r="B114" s="8"/>
      <c r="C114" s="9"/>
      <c r="D114" s="10"/>
      <c r="E114" s="11"/>
      <c r="F114" s="11" t="s">
        <v>25</v>
      </c>
      <c r="G114" s="11"/>
      <c r="I114" s="12"/>
      <c r="J114" s="12"/>
    </row>
    <row r="115">
      <c r="A115" s="8"/>
      <c r="B115" s="8"/>
      <c r="C115" s="9"/>
      <c r="D115" s="10"/>
      <c r="F115" s="11" t="s">
        <v>43</v>
      </c>
      <c r="G115" s="11"/>
      <c r="I115" s="13"/>
      <c r="J115" s="13"/>
    </row>
    <row r="116">
      <c r="A116" s="8" t="s">
        <v>137</v>
      </c>
      <c r="B116" s="8"/>
      <c r="C116" s="9" t="s">
        <v>111</v>
      </c>
      <c r="D116" s="10" t="s">
        <v>133</v>
      </c>
      <c r="E116" s="11" t="s">
        <v>21</v>
      </c>
      <c r="F116" s="11" t="s">
        <v>30</v>
      </c>
      <c r="G116" s="11"/>
      <c r="H116" s="11" t="s">
        <v>22</v>
      </c>
      <c r="I116" s="12" t="s">
        <v>112</v>
      </c>
      <c r="J116" s="12"/>
    </row>
    <row r="117">
      <c r="A117" s="8"/>
      <c r="B117" s="8"/>
      <c r="C117" s="9"/>
      <c r="D117" s="10"/>
      <c r="F117" s="11" t="s">
        <v>43</v>
      </c>
      <c r="G117" s="11"/>
      <c r="H117" s="11" t="s">
        <v>130</v>
      </c>
      <c r="I117" s="13"/>
      <c r="J117" s="13"/>
    </row>
    <row r="118">
      <c r="A118" s="8" t="s">
        <v>138</v>
      </c>
      <c r="B118" s="8"/>
      <c r="C118" s="9" t="s">
        <v>139</v>
      </c>
      <c r="D118" s="9" t="s">
        <v>140</v>
      </c>
      <c r="E118" s="11" t="s">
        <v>90</v>
      </c>
      <c r="F118" s="11" t="s">
        <v>30</v>
      </c>
      <c r="G118" s="11"/>
      <c r="H118" s="11" t="s">
        <v>22</v>
      </c>
      <c r="I118" s="12" t="s">
        <v>141</v>
      </c>
      <c r="J118" s="12"/>
    </row>
    <row r="119">
      <c r="A119" s="8"/>
      <c r="B119" s="8"/>
      <c r="C119" s="10" t="s">
        <v>142</v>
      </c>
      <c r="D119" s="9"/>
      <c r="F119" s="11" t="s">
        <v>17</v>
      </c>
      <c r="G119" s="11"/>
      <c r="H119" s="11" t="s">
        <v>143</v>
      </c>
      <c r="I119" s="13"/>
      <c r="J119" s="13"/>
    </row>
    <row r="120">
      <c r="A120" s="8"/>
      <c r="B120" s="8"/>
      <c r="C120" s="10"/>
      <c r="D120" s="9"/>
      <c r="F120" s="11" t="s">
        <v>144</v>
      </c>
      <c r="G120" s="11"/>
      <c r="I120" s="13"/>
      <c r="J120" s="13"/>
    </row>
    <row r="121">
      <c r="A121" s="14" t="s">
        <v>145</v>
      </c>
      <c r="B121" s="14"/>
      <c r="C121" s="9" t="s">
        <v>111</v>
      </c>
      <c r="D121" s="9" t="s">
        <v>140</v>
      </c>
      <c r="E121" s="11" t="s">
        <v>21</v>
      </c>
      <c r="F121" s="11" t="s">
        <v>25</v>
      </c>
      <c r="G121" s="11"/>
      <c r="H121" s="11" t="s">
        <v>22</v>
      </c>
      <c r="I121" s="12" t="s">
        <v>112</v>
      </c>
      <c r="J121" s="12"/>
    </row>
    <row r="122">
      <c r="A122" s="14"/>
      <c r="B122" s="14"/>
      <c r="C122" s="9"/>
      <c r="D122" s="9"/>
      <c r="F122" s="11" t="s">
        <v>30</v>
      </c>
      <c r="G122" s="11"/>
      <c r="H122" s="11" t="s">
        <v>143</v>
      </c>
      <c r="I122" s="13"/>
      <c r="J122" s="13"/>
    </row>
    <row r="123">
      <c r="A123" s="14"/>
      <c r="B123" s="14"/>
      <c r="C123" s="9"/>
      <c r="D123" s="9"/>
      <c r="F123" s="11" t="s">
        <v>43</v>
      </c>
      <c r="G123" s="11"/>
      <c r="I123" s="13"/>
      <c r="J123" s="13"/>
    </row>
    <row r="124">
      <c r="A124" s="14" t="s">
        <v>146</v>
      </c>
      <c r="B124" s="14"/>
      <c r="C124" s="9" t="s">
        <v>111</v>
      </c>
      <c r="D124" s="9" t="s">
        <v>147</v>
      </c>
      <c r="E124" s="11" t="s">
        <v>21</v>
      </c>
      <c r="F124" s="11" t="s">
        <v>148</v>
      </c>
      <c r="G124" s="11"/>
      <c r="H124" s="11" t="s">
        <v>22</v>
      </c>
      <c r="I124" s="12" t="s">
        <v>149</v>
      </c>
      <c r="J124" s="13"/>
    </row>
    <row r="125">
      <c r="A125" s="14"/>
      <c r="B125" s="14"/>
      <c r="C125" s="9"/>
      <c r="D125" s="9"/>
      <c r="F125" s="11" t="s">
        <v>91</v>
      </c>
      <c r="G125" s="11"/>
      <c r="H125" s="11" t="s">
        <v>143</v>
      </c>
      <c r="I125" s="13"/>
      <c r="J125" s="13"/>
    </row>
    <row r="126">
      <c r="A126" s="14"/>
      <c r="B126" s="14"/>
      <c r="C126" s="9"/>
      <c r="D126" s="9"/>
      <c r="F126" s="11" t="s">
        <v>30</v>
      </c>
      <c r="G126" s="11"/>
      <c r="I126" s="13"/>
      <c r="J126" s="13"/>
    </row>
    <row r="127">
      <c r="A127" s="14"/>
      <c r="B127" s="14"/>
      <c r="C127" s="9"/>
      <c r="D127" s="9"/>
      <c r="F127" s="11" t="s">
        <v>43</v>
      </c>
      <c r="G127" s="11"/>
      <c r="I127" s="13"/>
      <c r="J127" s="13"/>
    </row>
    <row r="128">
      <c r="A128" s="14" t="s">
        <v>150</v>
      </c>
      <c r="B128" s="14"/>
      <c r="C128" s="9" t="s">
        <v>111</v>
      </c>
      <c r="D128" s="9" t="s">
        <v>151</v>
      </c>
      <c r="E128" s="11" t="s">
        <v>21</v>
      </c>
      <c r="F128" s="11" t="s">
        <v>30</v>
      </c>
      <c r="G128" s="11"/>
      <c r="H128" s="11" t="s">
        <v>22</v>
      </c>
      <c r="I128" s="12" t="s">
        <v>152</v>
      </c>
      <c r="J128" s="13"/>
    </row>
    <row r="129">
      <c r="A129" s="14"/>
      <c r="B129" s="14"/>
      <c r="C129" s="10" t="s">
        <v>153</v>
      </c>
      <c r="D129" s="9"/>
      <c r="H129" s="11" t="s">
        <v>143</v>
      </c>
      <c r="I129" s="13"/>
      <c r="J129" s="13"/>
    </row>
    <row r="130">
      <c r="A130" s="8" t="s">
        <v>154</v>
      </c>
      <c r="B130" s="8"/>
      <c r="C130" s="9" t="s">
        <v>139</v>
      </c>
      <c r="D130" s="9" t="s">
        <v>155</v>
      </c>
      <c r="E130" s="11" t="s">
        <v>90</v>
      </c>
      <c r="F130" s="11" t="s">
        <v>108</v>
      </c>
      <c r="G130" s="11"/>
      <c r="H130" s="11" t="s">
        <v>22</v>
      </c>
      <c r="I130" s="12" t="s">
        <v>141</v>
      </c>
      <c r="J130" s="15">
        <v>171000.0</v>
      </c>
    </row>
    <row r="131">
      <c r="A131" s="8"/>
      <c r="B131" s="8"/>
      <c r="C131" s="9"/>
      <c r="D131" s="9"/>
      <c r="F131" s="11" t="s">
        <v>83</v>
      </c>
      <c r="G131" s="11"/>
      <c r="H131" s="11" t="s">
        <v>143</v>
      </c>
      <c r="I131" s="12" t="s">
        <v>156</v>
      </c>
      <c r="J131" s="13"/>
    </row>
    <row r="132">
      <c r="A132" s="14" t="s">
        <v>157</v>
      </c>
      <c r="B132" s="14"/>
      <c r="C132" s="9" t="s">
        <v>111</v>
      </c>
      <c r="D132" s="9" t="s">
        <v>158</v>
      </c>
      <c r="E132" s="11" t="s">
        <v>21</v>
      </c>
      <c r="F132" s="11" t="s">
        <v>30</v>
      </c>
      <c r="G132" s="11"/>
      <c r="H132" s="11" t="s">
        <v>22</v>
      </c>
      <c r="I132" s="12" t="s">
        <v>159</v>
      </c>
      <c r="J132" s="12">
        <v>300000.0</v>
      </c>
    </row>
    <row r="133">
      <c r="A133" s="14"/>
      <c r="B133" s="14"/>
      <c r="C133" s="9"/>
      <c r="D133" s="9"/>
      <c r="E133" s="11"/>
      <c r="F133" s="11"/>
      <c r="G133" s="11"/>
      <c r="H133" s="11" t="s">
        <v>143</v>
      </c>
      <c r="I133" s="12"/>
      <c r="J133" s="12"/>
    </row>
    <row r="134">
      <c r="A134" s="14" t="s">
        <v>160</v>
      </c>
      <c r="B134" s="14"/>
      <c r="C134" s="9" t="s">
        <v>161</v>
      </c>
      <c r="D134" s="9" t="s">
        <v>158</v>
      </c>
      <c r="E134" s="11" t="s">
        <v>162</v>
      </c>
      <c r="F134" s="11" t="s">
        <v>25</v>
      </c>
      <c r="G134" s="11"/>
      <c r="H134" s="11" t="s">
        <v>22</v>
      </c>
      <c r="I134" s="12" t="s">
        <v>163</v>
      </c>
      <c r="J134" s="12">
        <v>142000.0</v>
      </c>
    </row>
    <row r="135">
      <c r="A135" s="14"/>
      <c r="B135" s="14"/>
      <c r="C135" s="9"/>
      <c r="D135" s="9"/>
      <c r="E135" s="11"/>
      <c r="F135" s="11"/>
      <c r="G135" s="11"/>
      <c r="H135" s="11" t="s">
        <v>143</v>
      </c>
      <c r="I135" s="12"/>
      <c r="J135" s="13"/>
    </row>
    <row r="136">
      <c r="A136" s="14" t="s">
        <v>164</v>
      </c>
      <c r="B136" s="14"/>
      <c r="C136" s="9" t="s">
        <v>111</v>
      </c>
      <c r="D136" s="9" t="s">
        <v>165</v>
      </c>
      <c r="E136" s="11" t="s">
        <v>21</v>
      </c>
      <c r="F136" s="11" t="s">
        <v>25</v>
      </c>
      <c r="G136" s="11"/>
      <c r="H136" s="11" t="s">
        <v>22</v>
      </c>
      <c r="I136" s="12" t="s">
        <v>166</v>
      </c>
      <c r="J136" s="12">
        <v>960000.0</v>
      </c>
    </row>
    <row r="137">
      <c r="A137" s="14"/>
      <c r="B137" s="14"/>
      <c r="C137" s="9"/>
      <c r="D137" s="9"/>
      <c r="F137" s="11" t="s">
        <v>30</v>
      </c>
      <c r="G137" s="11"/>
      <c r="H137" s="11" t="s">
        <v>143</v>
      </c>
      <c r="I137" s="13"/>
      <c r="J137" s="13"/>
    </row>
    <row r="138">
      <c r="A138" s="14"/>
      <c r="B138" s="14"/>
      <c r="C138" s="9"/>
      <c r="D138" s="9"/>
      <c r="F138" s="11" t="s">
        <v>43</v>
      </c>
      <c r="G138" s="11"/>
      <c r="I138" s="13"/>
      <c r="J138" s="13"/>
    </row>
    <row r="139">
      <c r="A139" s="8" t="s">
        <v>167</v>
      </c>
      <c r="B139" s="8"/>
      <c r="C139" s="9" t="s">
        <v>139</v>
      </c>
      <c r="D139" s="9" t="s">
        <v>168</v>
      </c>
      <c r="E139" s="11" t="s">
        <v>90</v>
      </c>
      <c r="F139" s="11" t="s">
        <v>108</v>
      </c>
      <c r="G139" s="11"/>
      <c r="H139" s="11" t="s">
        <v>22</v>
      </c>
      <c r="I139" s="12" t="s">
        <v>169</v>
      </c>
      <c r="J139" s="13"/>
    </row>
    <row r="140">
      <c r="A140" s="8"/>
      <c r="B140" s="8"/>
      <c r="C140" s="9"/>
      <c r="D140" s="9"/>
      <c r="E140" s="11"/>
      <c r="F140" s="11" t="s">
        <v>170</v>
      </c>
      <c r="G140" s="11"/>
      <c r="H140" s="11" t="s">
        <v>143</v>
      </c>
      <c r="I140" s="12" t="s">
        <v>171</v>
      </c>
      <c r="J140" s="13"/>
    </row>
    <row r="141">
      <c r="A141" s="8"/>
      <c r="B141" s="8"/>
      <c r="C141" s="9"/>
      <c r="D141" s="9"/>
      <c r="E141" s="11"/>
      <c r="F141" s="11"/>
      <c r="G141" s="11"/>
      <c r="H141" s="11"/>
      <c r="I141" s="12" t="s">
        <v>172</v>
      </c>
      <c r="J141" s="13"/>
    </row>
    <row r="142">
      <c r="A142" s="14" t="s">
        <v>173</v>
      </c>
      <c r="B142" s="14"/>
      <c r="C142" s="9" t="s">
        <v>111</v>
      </c>
      <c r="D142" s="9" t="s">
        <v>174</v>
      </c>
      <c r="E142" s="11" t="s">
        <v>21</v>
      </c>
      <c r="F142" s="11" t="s">
        <v>25</v>
      </c>
      <c r="G142" s="11"/>
      <c r="H142" s="11" t="s">
        <v>22</v>
      </c>
      <c r="I142" s="12" t="s">
        <v>149</v>
      </c>
      <c r="J142" s="13"/>
    </row>
    <row r="143">
      <c r="A143" s="14"/>
      <c r="B143" s="14"/>
      <c r="C143" s="10" t="s">
        <v>175</v>
      </c>
      <c r="D143" s="9"/>
      <c r="E143" s="11"/>
      <c r="F143" s="11" t="s">
        <v>30</v>
      </c>
      <c r="G143" s="11"/>
      <c r="H143" s="11" t="s">
        <v>143</v>
      </c>
      <c r="I143" s="13"/>
      <c r="J143" s="13"/>
    </row>
    <row r="144">
      <c r="A144" s="14"/>
      <c r="B144" s="14"/>
      <c r="C144" s="10"/>
      <c r="D144" s="9"/>
      <c r="E144" s="11"/>
      <c r="F144" s="11" t="s">
        <v>176</v>
      </c>
      <c r="G144" s="11"/>
      <c r="I144" s="13"/>
      <c r="J144" s="13"/>
    </row>
    <row r="145">
      <c r="A145" s="8" t="s">
        <v>177</v>
      </c>
      <c r="B145" s="8" t="s">
        <v>178</v>
      </c>
      <c r="C145" s="9" t="s">
        <v>179</v>
      </c>
      <c r="D145" s="9" t="s">
        <v>180</v>
      </c>
      <c r="E145" s="11" t="s">
        <v>181</v>
      </c>
      <c r="F145" s="11" t="s">
        <v>182</v>
      </c>
      <c r="G145" s="11"/>
      <c r="H145" s="11" t="s">
        <v>22</v>
      </c>
      <c r="I145" s="12" t="s">
        <v>183</v>
      </c>
      <c r="J145" s="13"/>
    </row>
    <row r="146">
      <c r="A146" s="8"/>
      <c r="B146" s="8"/>
      <c r="C146" s="10" t="s">
        <v>184</v>
      </c>
      <c r="D146" s="9"/>
      <c r="F146" s="11" t="s">
        <v>30</v>
      </c>
      <c r="G146" s="11"/>
      <c r="I146" s="13"/>
      <c r="J146" s="13"/>
    </row>
    <row r="147">
      <c r="A147" s="8"/>
      <c r="B147" s="8"/>
      <c r="C147" s="10"/>
      <c r="D147" s="9"/>
      <c r="F147" s="11" t="s">
        <v>185</v>
      </c>
      <c r="G147" s="11"/>
      <c r="I147" s="13"/>
      <c r="J147" s="13"/>
    </row>
    <row r="148">
      <c r="A148" s="14" t="s">
        <v>186</v>
      </c>
      <c r="B148" s="14"/>
      <c r="C148" s="9" t="s">
        <v>187</v>
      </c>
      <c r="D148" s="9" t="s">
        <v>188</v>
      </c>
      <c r="E148" s="11" t="s">
        <v>21</v>
      </c>
      <c r="F148" s="11" t="s">
        <v>30</v>
      </c>
      <c r="G148" s="11"/>
      <c r="H148" s="11" t="s">
        <v>189</v>
      </c>
      <c r="I148" s="13"/>
      <c r="J148" s="12">
        <v>275.0</v>
      </c>
    </row>
    <row r="149">
      <c r="A149" s="14"/>
      <c r="B149" s="14"/>
      <c r="C149" s="9"/>
      <c r="D149" s="9"/>
      <c r="F149" s="11" t="s">
        <v>17</v>
      </c>
      <c r="G149" s="11"/>
      <c r="H149" s="11" t="s">
        <v>18</v>
      </c>
      <c r="I149" s="13"/>
      <c r="J149" s="13"/>
    </row>
    <row r="150">
      <c r="A150" s="14"/>
      <c r="B150" s="14"/>
      <c r="C150" s="9"/>
      <c r="D150" s="9"/>
      <c r="F150" s="11" t="s">
        <v>144</v>
      </c>
      <c r="G150" s="11"/>
      <c r="H150" s="11" t="s">
        <v>22</v>
      </c>
      <c r="I150" s="13"/>
      <c r="J150" s="13"/>
    </row>
    <row r="151">
      <c r="A151" s="14"/>
      <c r="B151" s="14"/>
      <c r="C151" s="9"/>
      <c r="D151" s="9"/>
      <c r="F151" s="11" t="s">
        <v>15</v>
      </c>
      <c r="G151" s="11"/>
      <c r="H151" s="11" t="s">
        <v>143</v>
      </c>
      <c r="I151" s="13"/>
      <c r="J151" s="13"/>
    </row>
    <row r="152">
      <c r="A152" s="14"/>
      <c r="B152" s="14"/>
      <c r="C152" s="9"/>
      <c r="D152" s="9"/>
      <c r="F152" s="11" t="s">
        <v>190</v>
      </c>
      <c r="G152" s="11"/>
      <c r="H152" s="11"/>
      <c r="I152" s="13"/>
      <c r="J152" s="13"/>
    </row>
    <row r="153">
      <c r="A153" s="14" t="s">
        <v>191</v>
      </c>
      <c r="B153" s="14"/>
      <c r="C153" s="9" t="s">
        <v>111</v>
      </c>
      <c r="D153" s="9" t="s">
        <v>188</v>
      </c>
      <c r="E153" s="11" t="s">
        <v>21</v>
      </c>
      <c r="F153" s="11" t="s">
        <v>30</v>
      </c>
      <c r="G153" s="11"/>
      <c r="H153" s="11" t="s">
        <v>22</v>
      </c>
      <c r="I153" s="12" t="s">
        <v>159</v>
      </c>
      <c r="J153" s="13"/>
    </row>
    <row r="154">
      <c r="A154" s="14"/>
      <c r="B154" s="14"/>
      <c r="C154" s="9"/>
      <c r="D154" s="9"/>
      <c r="F154" s="11" t="s">
        <v>192</v>
      </c>
      <c r="G154" s="11"/>
      <c r="H154" s="11" t="s">
        <v>143</v>
      </c>
      <c r="I154" s="13"/>
      <c r="J154" s="13"/>
    </row>
    <row r="155">
      <c r="A155" s="14" t="s">
        <v>193</v>
      </c>
      <c r="B155" s="14"/>
      <c r="C155" s="9" t="s">
        <v>187</v>
      </c>
      <c r="D155" s="9" t="s">
        <v>194</v>
      </c>
      <c r="E155" s="11" t="s">
        <v>21</v>
      </c>
      <c r="F155" s="11" t="s">
        <v>15</v>
      </c>
      <c r="G155" s="11"/>
      <c r="H155" s="11" t="s">
        <v>18</v>
      </c>
      <c r="I155" s="13"/>
      <c r="J155" s="13"/>
    </row>
    <row r="156">
      <c r="A156" s="14"/>
      <c r="B156" s="14"/>
      <c r="C156" s="9"/>
      <c r="D156" s="9"/>
      <c r="F156" s="11" t="s">
        <v>30</v>
      </c>
      <c r="G156" s="11"/>
      <c r="H156" s="11" t="s">
        <v>143</v>
      </c>
      <c r="I156" s="13"/>
      <c r="J156" s="13"/>
    </row>
    <row r="157">
      <c r="A157" s="14"/>
      <c r="B157" s="14"/>
      <c r="C157" s="9"/>
      <c r="D157" s="9"/>
      <c r="F157" s="11" t="s">
        <v>17</v>
      </c>
      <c r="G157" s="11"/>
      <c r="I157" s="13"/>
      <c r="J157" s="13"/>
    </row>
    <row r="158">
      <c r="A158" s="14"/>
      <c r="B158" s="14"/>
      <c r="C158" s="9"/>
      <c r="D158" s="9"/>
      <c r="F158" s="11" t="s">
        <v>190</v>
      </c>
      <c r="G158" s="11"/>
      <c r="I158" s="13"/>
      <c r="J158" s="13"/>
    </row>
    <row r="159">
      <c r="A159" s="8" t="s">
        <v>195</v>
      </c>
      <c r="B159" s="8" t="s">
        <v>196</v>
      </c>
      <c r="C159" s="9" t="s">
        <v>179</v>
      </c>
      <c r="D159" s="9" t="s">
        <v>194</v>
      </c>
      <c r="E159" s="11" t="s">
        <v>181</v>
      </c>
      <c r="F159" s="11" t="s">
        <v>197</v>
      </c>
      <c r="G159" s="11"/>
      <c r="H159" s="11" t="s">
        <v>22</v>
      </c>
      <c r="I159" s="12" t="s">
        <v>198</v>
      </c>
      <c r="J159" s="13"/>
    </row>
    <row r="160">
      <c r="A160" s="8"/>
      <c r="B160" s="8"/>
      <c r="C160" s="9"/>
      <c r="D160" s="9"/>
      <c r="F160" s="11" t="s">
        <v>182</v>
      </c>
      <c r="G160" s="11"/>
      <c r="H160" s="11" t="s">
        <v>143</v>
      </c>
      <c r="I160" s="13"/>
      <c r="J160" s="13"/>
    </row>
    <row r="161">
      <c r="A161" s="8"/>
      <c r="B161" s="8"/>
      <c r="C161" s="9"/>
      <c r="D161" s="9"/>
      <c r="F161" s="11" t="s">
        <v>30</v>
      </c>
      <c r="G161" s="11"/>
      <c r="I161" s="13"/>
      <c r="J161" s="13"/>
    </row>
    <row r="162">
      <c r="A162" s="8"/>
      <c r="B162" s="8"/>
      <c r="C162" s="9"/>
      <c r="D162" s="9"/>
      <c r="F162" s="11" t="s">
        <v>82</v>
      </c>
      <c r="G162" s="11"/>
      <c r="I162" s="13"/>
      <c r="J162" s="13"/>
    </row>
    <row r="163">
      <c r="A163" s="14" t="s">
        <v>199</v>
      </c>
      <c r="B163" s="14"/>
      <c r="C163" s="9" t="s">
        <v>200</v>
      </c>
      <c r="D163" s="9" t="s">
        <v>194</v>
      </c>
      <c r="E163" s="11" t="s">
        <v>162</v>
      </c>
      <c r="F163" s="11" t="s">
        <v>25</v>
      </c>
      <c r="G163" s="11"/>
      <c r="H163" s="11" t="s">
        <v>22</v>
      </c>
      <c r="I163" s="12" t="s">
        <v>163</v>
      </c>
      <c r="J163" s="13"/>
    </row>
    <row r="164">
      <c r="A164" s="14"/>
      <c r="B164" s="14"/>
      <c r="C164" s="9"/>
      <c r="D164" s="9"/>
      <c r="F164" s="11" t="s">
        <v>43</v>
      </c>
      <c r="G164" s="11"/>
      <c r="H164" s="11" t="s">
        <v>143</v>
      </c>
      <c r="I164" s="13"/>
      <c r="J164" s="13"/>
    </row>
    <row r="165">
      <c r="A165" s="14" t="s">
        <v>201</v>
      </c>
      <c r="B165" s="8" t="s">
        <v>202</v>
      </c>
      <c r="C165" s="9" t="s">
        <v>203</v>
      </c>
      <c r="D165" s="9" t="s">
        <v>204</v>
      </c>
      <c r="E165" s="11" t="s">
        <v>205</v>
      </c>
      <c r="F165" s="11" t="s">
        <v>30</v>
      </c>
      <c r="G165" s="11"/>
      <c r="H165" s="11" t="s">
        <v>22</v>
      </c>
      <c r="I165" s="12" t="s">
        <v>206</v>
      </c>
      <c r="J165" s="13"/>
    </row>
    <row r="166">
      <c r="A166" s="14"/>
      <c r="B166" s="14"/>
      <c r="C166" s="9"/>
      <c r="D166" s="9"/>
      <c r="E166" s="11"/>
      <c r="F166" s="11"/>
      <c r="G166" s="11"/>
      <c r="H166" s="11" t="s">
        <v>143</v>
      </c>
      <c r="I166" s="12"/>
      <c r="J166" s="13"/>
    </row>
    <row r="167">
      <c r="A167" s="14" t="s">
        <v>207</v>
      </c>
      <c r="B167" s="14"/>
      <c r="C167" s="9" t="s">
        <v>187</v>
      </c>
      <c r="D167" s="9" t="s">
        <v>208</v>
      </c>
      <c r="E167" s="11" t="s">
        <v>21</v>
      </c>
      <c r="F167" s="11" t="s">
        <v>15</v>
      </c>
      <c r="G167" s="11"/>
      <c r="H167" s="11" t="s">
        <v>18</v>
      </c>
      <c r="I167" s="13"/>
      <c r="J167" s="13"/>
    </row>
    <row r="168">
      <c r="A168" s="14"/>
      <c r="B168" s="14"/>
      <c r="C168" s="9"/>
      <c r="D168" s="9"/>
      <c r="F168" s="11" t="s">
        <v>17</v>
      </c>
      <c r="G168" s="11"/>
      <c r="H168" s="11" t="s">
        <v>143</v>
      </c>
      <c r="I168" s="13"/>
      <c r="J168" s="13"/>
    </row>
    <row r="169">
      <c r="A169" s="14"/>
      <c r="B169" s="14"/>
      <c r="C169" s="9"/>
      <c r="D169" s="9"/>
      <c r="F169" s="11" t="s">
        <v>190</v>
      </c>
      <c r="G169" s="11"/>
      <c r="I169" s="13"/>
      <c r="J169" s="13"/>
    </row>
    <row r="170">
      <c r="A170" s="8" t="s">
        <v>209</v>
      </c>
      <c r="B170" s="8" t="s">
        <v>210</v>
      </c>
      <c r="C170" s="9" t="s">
        <v>179</v>
      </c>
      <c r="D170" s="9" t="s">
        <v>211</v>
      </c>
      <c r="E170" s="11" t="s">
        <v>181</v>
      </c>
      <c r="F170" s="11" t="s">
        <v>25</v>
      </c>
      <c r="G170" s="11"/>
      <c r="H170" s="11" t="s">
        <v>143</v>
      </c>
      <c r="I170" s="12" t="s">
        <v>212</v>
      </c>
      <c r="J170" s="13"/>
    </row>
    <row r="171">
      <c r="A171" s="14" t="s">
        <v>213</v>
      </c>
      <c r="B171" s="14"/>
      <c r="C171" s="9" t="s">
        <v>214</v>
      </c>
      <c r="D171" s="9" t="s">
        <v>215</v>
      </c>
      <c r="E171" s="11" t="s">
        <v>14</v>
      </c>
      <c r="F171" s="11" t="s">
        <v>25</v>
      </c>
      <c r="G171" s="11"/>
      <c r="H171" s="11" t="s">
        <v>22</v>
      </c>
      <c r="I171" s="12" t="s">
        <v>216</v>
      </c>
      <c r="J171" s="13"/>
    </row>
    <row r="172">
      <c r="A172" s="14"/>
      <c r="B172" s="14"/>
      <c r="C172" s="9"/>
      <c r="D172" s="9"/>
      <c r="E172" s="11"/>
      <c r="F172" s="11" t="s">
        <v>43</v>
      </c>
      <c r="G172" s="11"/>
      <c r="H172" s="11" t="s">
        <v>143</v>
      </c>
      <c r="I172" s="13"/>
      <c r="J172" s="13"/>
    </row>
    <row r="173">
      <c r="A173" s="14" t="s">
        <v>217</v>
      </c>
      <c r="B173" s="14"/>
      <c r="C173" s="9" t="s">
        <v>218</v>
      </c>
      <c r="D173" s="9" t="s">
        <v>215</v>
      </c>
      <c r="E173" s="11" t="s">
        <v>219</v>
      </c>
      <c r="F173" s="11" t="s">
        <v>30</v>
      </c>
      <c r="G173" s="11"/>
      <c r="H173" s="11" t="s">
        <v>22</v>
      </c>
      <c r="I173" s="12" t="s">
        <v>220</v>
      </c>
      <c r="J173" s="13"/>
    </row>
    <row r="174">
      <c r="A174" s="14"/>
      <c r="B174" s="14"/>
      <c r="C174" s="9"/>
      <c r="D174" s="9"/>
      <c r="F174" s="11" t="s">
        <v>192</v>
      </c>
      <c r="G174" s="11"/>
      <c r="H174" s="11" t="s">
        <v>143</v>
      </c>
      <c r="I174" s="13"/>
      <c r="J174" s="13"/>
    </row>
    <row r="175">
      <c r="A175" s="14" t="s">
        <v>221</v>
      </c>
      <c r="B175" s="14"/>
      <c r="C175" s="9" t="s">
        <v>222</v>
      </c>
      <c r="D175" s="9" t="s">
        <v>215</v>
      </c>
      <c r="E175" s="11" t="s">
        <v>21</v>
      </c>
      <c r="F175" s="11" t="s">
        <v>30</v>
      </c>
      <c r="G175" s="11"/>
      <c r="H175" s="11" t="s">
        <v>22</v>
      </c>
      <c r="I175" s="12" t="s">
        <v>223</v>
      </c>
      <c r="J175" s="12">
        <v>153000.0</v>
      </c>
    </row>
    <row r="176">
      <c r="A176" s="14"/>
      <c r="B176" s="14"/>
      <c r="C176" s="10" t="s">
        <v>224</v>
      </c>
      <c r="D176" s="9"/>
      <c r="F176" s="11" t="s">
        <v>65</v>
      </c>
      <c r="G176" s="11"/>
      <c r="H176" s="11" t="s">
        <v>143</v>
      </c>
      <c r="I176" s="13"/>
      <c r="J176" s="13"/>
    </row>
    <row r="177">
      <c r="A177" s="14" t="s">
        <v>225</v>
      </c>
      <c r="B177" s="14"/>
      <c r="C177" s="9" t="s">
        <v>222</v>
      </c>
      <c r="D177" s="9" t="s">
        <v>215</v>
      </c>
      <c r="E177" s="11" t="s">
        <v>21</v>
      </c>
      <c r="F177" s="11" t="s">
        <v>30</v>
      </c>
      <c r="G177" s="11"/>
      <c r="H177" s="11" t="s">
        <v>22</v>
      </c>
      <c r="I177" s="12" t="s">
        <v>226</v>
      </c>
      <c r="J177" s="12">
        <v>151000.0</v>
      </c>
    </row>
    <row r="178">
      <c r="A178" s="14"/>
      <c r="B178" s="14"/>
      <c r="C178" s="9"/>
      <c r="D178" s="9"/>
      <c r="E178" s="11"/>
      <c r="F178" s="11" t="s">
        <v>65</v>
      </c>
      <c r="G178" s="11"/>
      <c r="H178" s="11" t="s">
        <v>143</v>
      </c>
      <c r="I178" s="13"/>
      <c r="J178" s="13"/>
    </row>
    <row r="179">
      <c r="A179" s="14" t="s">
        <v>227</v>
      </c>
      <c r="B179" s="14"/>
      <c r="C179" s="9" t="s">
        <v>222</v>
      </c>
      <c r="D179" s="9" t="s">
        <v>228</v>
      </c>
      <c r="E179" s="11" t="s">
        <v>21</v>
      </c>
      <c r="F179" s="11" t="s">
        <v>185</v>
      </c>
      <c r="G179" s="11"/>
      <c r="H179" s="11" t="s">
        <v>22</v>
      </c>
      <c r="I179" s="12" t="s">
        <v>226</v>
      </c>
      <c r="J179" s="13"/>
    </row>
    <row r="180">
      <c r="A180" s="14"/>
      <c r="B180" s="14"/>
      <c r="C180" s="9"/>
      <c r="D180" s="9"/>
      <c r="F180" s="11" t="s">
        <v>182</v>
      </c>
      <c r="G180" s="11"/>
      <c r="H180" s="11" t="s">
        <v>143</v>
      </c>
      <c r="I180" s="13"/>
      <c r="J180" s="13"/>
    </row>
    <row r="181">
      <c r="A181" s="14"/>
      <c r="B181" s="14"/>
      <c r="C181" s="9"/>
      <c r="D181" s="9"/>
      <c r="F181" s="11" t="s">
        <v>30</v>
      </c>
      <c r="G181" s="11"/>
      <c r="I181" s="13"/>
      <c r="J181" s="13"/>
    </row>
    <row r="182">
      <c r="A182" s="14" t="s">
        <v>229</v>
      </c>
      <c r="B182" s="14"/>
      <c r="C182" s="9" t="s">
        <v>222</v>
      </c>
      <c r="D182" s="9" t="s">
        <v>230</v>
      </c>
      <c r="E182" s="11" t="s">
        <v>21</v>
      </c>
      <c r="F182" s="11" t="s">
        <v>30</v>
      </c>
      <c r="G182" s="11"/>
      <c r="H182" s="11" t="s">
        <v>22</v>
      </c>
      <c r="I182" s="12" t="s">
        <v>226</v>
      </c>
      <c r="J182" s="13"/>
    </row>
    <row r="183">
      <c r="A183" s="14"/>
      <c r="B183" s="14"/>
      <c r="C183" s="9"/>
      <c r="D183" s="9"/>
      <c r="F183" s="11" t="s">
        <v>43</v>
      </c>
      <c r="G183" s="11"/>
      <c r="H183" s="11" t="s">
        <v>143</v>
      </c>
      <c r="I183" s="13"/>
      <c r="J183" s="13"/>
    </row>
    <row r="184">
      <c r="A184" s="14"/>
      <c r="B184" s="14"/>
      <c r="C184" s="9"/>
      <c r="D184" s="9"/>
      <c r="F184" s="11" t="s">
        <v>170</v>
      </c>
      <c r="G184" s="11"/>
      <c r="I184" s="13"/>
      <c r="J184" s="13"/>
    </row>
    <row r="185">
      <c r="A185" s="14" t="s">
        <v>231</v>
      </c>
      <c r="B185" s="14"/>
      <c r="C185" s="9" t="s">
        <v>214</v>
      </c>
      <c r="D185" s="9" t="s">
        <v>230</v>
      </c>
      <c r="E185" s="11" t="s">
        <v>14</v>
      </c>
      <c r="F185" s="11" t="s">
        <v>30</v>
      </c>
      <c r="G185" s="11"/>
      <c r="H185" s="11" t="s">
        <v>22</v>
      </c>
      <c r="I185" s="16" t="s">
        <v>232</v>
      </c>
      <c r="J185" s="13"/>
      <c r="K185" s="11">
        <v>9934.0</v>
      </c>
    </row>
    <row r="186">
      <c r="A186" s="14"/>
      <c r="B186" s="14"/>
      <c r="C186" s="9"/>
      <c r="D186" s="9"/>
      <c r="E186" s="11"/>
      <c r="F186" s="11"/>
      <c r="G186" s="11"/>
      <c r="H186" s="11" t="s">
        <v>143</v>
      </c>
      <c r="I186" s="16" t="s">
        <v>233</v>
      </c>
      <c r="J186" s="13"/>
    </row>
    <row r="187">
      <c r="A187" s="14" t="s">
        <v>234</v>
      </c>
      <c r="B187" s="14"/>
      <c r="C187" s="9" t="s">
        <v>218</v>
      </c>
      <c r="D187" s="9" t="s">
        <v>235</v>
      </c>
      <c r="E187" s="11" t="s">
        <v>219</v>
      </c>
      <c r="F187" s="11" t="s">
        <v>25</v>
      </c>
      <c r="G187" s="11"/>
      <c r="H187" s="11" t="s">
        <v>143</v>
      </c>
      <c r="I187" s="11" t="s">
        <v>236</v>
      </c>
      <c r="J187" s="13"/>
    </row>
    <row r="188">
      <c r="A188" s="14"/>
      <c r="B188" s="14"/>
      <c r="C188" s="9"/>
      <c r="D188" s="9"/>
      <c r="E188" s="11"/>
      <c r="F188" s="11"/>
      <c r="G188" s="11"/>
      <c r="H188" s="11" t="s">
        <v>22</v>
      </c>
      <c r="I188" s="11"/>
      <c r="J188" s="13"/>
    </row>
    <row r="189">
      <c r="A189" s="14" t="s">
        <v>237</v>
      </c>
      <c r="B189" s="14"/>
      <c r="C189" s="9" t="s">
        <v>222</v>
      </c>
      <c r="D189" s="9" t="s">
        <v>238</v>
      </c>
      <c r="E189" s="11" t="s">
        <v>21</v>
      </c>
      <c r="F189" s="11" t="s">
        <v>185</v>
      </c>
      <c r="G189" s="11"/>
      <c r="I189" s="12" t="s">
        <v>226</v>
      </c>
      <c r="J189" s="12">
        <v>175000.0</v>
      </c>
    </row>
    <row r="190">
      <c r="A190" s="14"/>
      <c r="B190" s="14"/>
      <c r="C190" s="9"/>
      <c r="D190" s="9"/>
      <c r="F190" s="11" t="s">
        <v>182</v>
      </c>
      <c r="G190" s="11"/>
      <c r="I190" s="13"/>
      <c r="J190" s="13"/>
    </row>
    <row r="191">
      <c r="A191" s="14" t="s">
        <v>239</v>
      </c>
      <c r="B191" s="14"/>
      <c r="C191" s="9" t="s">
        <v>222</v>
      </c>
      <c r="D191" s="9" t="s">
        <v>238</v>
      </c>
      <c r="E191" s="11" t="s">
        <v>21</v>
      </c>
      <c r="F191" s="11" t="s">
        <v>185</v>
      </c>
      <c r="G191" s="11"/>
      <c r="H191" s="11" t="s">
        <v>22</v>
      </c>
      <c r="I191" s="12" t="s">
        <v>226</v>
      </c>
      <c r="J191" s="12">
        <v>200000.0</v>
      </c>
    </row>
    <row r="192">
      <c r="A192" s="14"/>
      <c r="B192" s="14"/>
      <c r="C192" s="9"/>
      <c r="D192" s="9"/>
      <c r="F192" s="11" t="s">
        <v>240</v>
      </c>
      <c r="G192" s="11"/>
      <c r="H192" s="11" t="s">
        <v>143</v>
      </c>
      <c r="I192" s="13"/>
      <c r="J192" s="13"/>
    </row>
    <row r="193">
      <c r="A193" s="14" t="s">
        <v>241</v>
      </c>
      <c r="B193" s="14"/>
      <c r="C193" s="9" t="s">
        <v>218</v>
      </c>
      <c r="D193" s="9" t="s">
        <v>238</v>
      </c>
      <c r="E193" s="11" t="s">
        <v>219</v>
      </c>
      <c r="F193" s="11" t="s">
        <v>182</v>
      </c>
      <c r="G193" s="11"/>
      <c r="H193" s="11" t="s">
        <v>22</v>
      </c>
      <c r="I193" s="12" t="s">
        <v>236</v>
      </c>
      <c r="J193" s="13"/>
    </row>
    <row r="194">
      <c r="A194" s="14"/>
      <c r="B194" s="14"/>
      <c r="C194" s="9"/>
      <c r="D194" s="9"/>
      <c r="F194" s="11" t="s">
        <v>30</v>
      </c>
      <c r="G194" s="11"/>
      <c r="H194" s="11" t="s">
        <v>143</v>
      </c>
      <c r="I194" s="12" t="s">
        <v>242</v>
      </c>
      <c r="J194" s="13"/>
    </row>
    <row r="195">
      <c r="A195" s="14" t="s">
        <v>243</v>
      </c>
      <c r="B195" s="14"/>
      <c r="C195" s="9" t="s">
        <v>244</v>
      </c>
      <c r="D195" s="9" t="s">
        <v>245</v>
      </c>
      <c r="E195" s="11" t="s">
        <v>21</v>
      </c>
      <c r="F195" s="11" t="s">
        <v>95</v>
      </c>
      <c r="G195" s="11" t="s">
        <v>246</v>
      </c>
      <c r="I195" s="12" t="s">
        <v>247</v>
      </c>
      <c r="J195" s="13"/>
    </row>
    <row r="196">
      <c r="A196" s="14"/>
      <c r="B196" s="14"/>
      <c r="C196" s="10" t="s">
        <v>248</v>
      </c>
      <c r="D196" s="9"/>
      <c r="E196" s="11" t="s">
        <v>219</v>
      </c>
      <c r="F196" s="11" t="s">
        <v>30</v>
      </c>
      <c r="G196" s="11"/>
      <c r="I196" s="12" t="s">
        <v>249</v>
      </c>
      <c r="J196" s="13"/>
    </row>
    <row r="197">
      <c r="A197" s="14" t="s">
        <v>250</v>
      </c>
      <c r="B197" s="8" t="s">
        <v>251</v>
      </c>
      <c r="C197" s="9" t="s">
        <v>252</v>
      </c>
      <c r="D197" s="9" t="s">
        <v>253</v>
      </c>
      <c r="E197" s="11" t="s">
        <v>254</v>
      </c>
      <c r="F197" s="11" t="s">
        <v>79</v>
      </c>
      <c r="G197" s="11"/>
      <c r="H197" s="11" t="s">
        <v>22</v>
      </c>
      <c r="I197" s="12" t="s">
        <v>255</v>
      </c>
      <c r="J197" s="13"/>
      <c r="K197" s="11">
        <v>5394.0</v>
      </c>
    </row>
    <row r="198">
      <c r="A198" s="14"/>
      <c r="B198" s="8"/>
      <c r="C198" s="9"/>
      <c r="D198" s="9"/>
      <c r="E198" s="11"/>
      <c r="F198" s="11" t="s">
        <v>30</v>
      </c>
      <c r="G198" s="11"/>
      <c r="H198" s="11" t="s">
        <v>143</v>
      </c>
      <c r="I198" s="13"/>
      <c r="J198" s="13"/>
    </row>
    <row r="199">
      <c r="A199" s="14"/>
      <c r="B199" s="8"/>
      <c r="C199" s="9"/>
      <c r="D199" s="9"/>
      <c r="E199" s="11"/>
      <c r="F199" s="11" t="s">
        <v>43</v>
      </c>
      <c r="G199" s="11"/>
      <c r="H199" s="11" t="s">
        <v>189</v>
      </c>
      <c r="I199" s="13"/>
      <c r="J199" s="13"/>
    </row>
    <row r="200">
      <c r="A200" s="14" t="s">
        <v>256</v>
      </c>
      <c r="B200" s="14"/>
      <c r="C200" s="9" t="s">
        <v>257</v>
      </c>
      <c r="D200" s="9" t="s">
        <v>253</v>
      </c>
      <c r="E200" s="11" t="s">
        <v>14</v>
      </c>
      <c r="F200" s="11" t="s">
        <v>30</v>
      </c>
      <c r="G200" s="11"/>
      <c r="H200" s="11" t="s">
        <v>22</v>
      </c>
      <c r="I200" s="15" t="s">
        <v>258</v>
      </c>
      <c r="J200" s="13"/>
      <c r="K200" s="11">
        <v>1596.0</v>
      </c>
    </row>
    <row r="201">
      <c r="A201" s="14"/>
      <c r="B201" s="14"/>
      <c r="C201" s="9"/>
      <c r="D201" s="9"/>
      <c r="F201" s="11" t="s">
        <v>65</v>
      </c>
      <c r="G201" s="11"/>
      <c r="H201" s="11" t="s">
        <v>143</v>
      </c>
      <c r="I201" s="15" t="s">
        <v>259</v>
      </c>
      <c r="J201" s="13"/>
    </row>
    <row r="202">
      <c r="A202" s="14"/>
      <c r="B202" s="14"/>
      <c r="C202" s="9"/>
      <c r="D202" s="9"/>
      <c r="F202" s="11" t="s">
        <v>43</v>
      </c>
      <c r="G202" s="11"/>
      <c r="H202" s="11" t="s">
        <v>189</v>
      </c>
      <c r="I202" s="13"/>
      <c r="J202" s="13"/>
    </row>
    <row r="203">
      <c r="A203" s="14" t="s">
        <v>260</v>
      </c>
      <c r="B203" s="14"/>
      <c r="C203" s="9" t="s">
        <v>261</v>
      </c>
      <c r="D203" s="9" t="s">
        <v>262</v>
      </c>
      <c r="E203" s="11" t="s">
        <v>263</v>
      </c>
      <c r="F203" s="11" t="s">
        <v>30</v>
      </c>
      <c r="G203" s="11"/>
      <c r="H203" s="11" t="s">
        <v>189</v>
      </c>
      <c r="I203" s="12" t="s">
        <v>264</v>
      </c>
      <c r="J203" s="13"/>
    </row>
    <row r="204">
      <c r="A204" s="14"/>
      <c r="B204" s="14"/>
      <c r="C204" s="10" t="s">
        <v>265</v>
      </c>
      <c r="D204" s="9"/>
      <c r="I204" s="13"/>
      <c r="J204" s="13"/>
    </row>
    <row r="205">
      <c r="A205" s="8" t="s">
        <v>266</v>
      </c>
      <c r="B205" s="14"/>
      <c r="C205" s="9" t="s">
        <v>267</v>
      </c>
      <c r="D205" s="9" t="s">
        <v>268</v>
      </c>
      <c r="E205" s="11" t="s">
        <v>21</v>
      </c>
      <c r="F205" s="11" t="s">
        <v>190</v>
      </c>
      <c r="G205" s="11"/>
      <c r="H205" s="11" t="s">
        <v>269</v>
      </c>
      <c r="I205" s="13"/>
      <c r="J205" s="13"/>
    </row>
    <row r="206">
      <c r="A206" s="8"/>
      <c r="B206" s="14"/>
      <c r="C206" s="9"/>
      <c r="D206" s="9"/>
      <c r="F206" s="11" t="s">
        <v>15</v>
      </c>
      <c r="G206" s="11"/>
      <c r="H206" s="11" t="s">
        <v>189</v>
      </c>
      <c r="I206" s="13"/>
      <c r="J206" s="13"/>
    </row>
    <row r="207">
      <c r="A207" s="8"/>
      <c r="B207" s="14"/>
      <c r="C207" s="9"/>
      <c r="D207" s="9"/>
      <c r="F207" s="11"/>
      <c r="G207" s="11"/>
      <c r="H207" s="11" t="s">
        <v>22</v>
      </c>
      <c r="I207" s="13"/>
      <c r="J207" s="13"/>
    </row>
    <row r="208">
      <c r="A208" s="8" t="s">
        <v>270</v>
      </c>
      <c r="B208" s="8" t="s">
        <v>271</v>
      </c>
      <c r="C208" s="9" t="s">
        <v>257</v>
      </c>
      <c r="D208" s="9" t="s">
        <v>272</v>
      </c>
      <c r="E208" s="11" t="s">
        <v>14</v>
      </c>
      <c r="F208" s="11" t="s">
        <v>30</v>
      </c>
      <c r="G208" s="11"/>
      <c r="H208" s="11" t="s">
        <v>273</v>
      </c>
      <c r="I208" s="15" t="s">
        <v>258</v>
      </c>
      <c r="J208" s="13"/>
      <c r="K208" s="11">
        <v>9929.0</v>
      </c>
    </row>
    <row r="209">
      <c r="A209" s="8"/>
      <c r="B209" s="8"/>
      <c r="C209" s="9"/>
      <c r="D209" s="9"/>
      <c r="E209" s="11" t="s">
        <v>274</v>
      </c>
      <c r="F209" s="11"/>
      <c r="G209" s="11"/>
      <c r="H209" s="11" t="s">
        <v>269</v>
      </c>
      <c r="I209" s="15" t="s">
        <v>259</v>
      </c>
      <c r="J209" s="13"/>
    </row>
    <row r="210">
      <c r="A210" s="14"/>
      <c r="B210" s="14"/>
      <c r="C210" s="9"/>
      <c r="D210" s="9"/>
      <c r="H210" s="11" t="s">
        <v>189</v>
      </c>
      <c r="I210" s="15" t="s">
        <v>275</v>
      </c>
      <c r="J210" s="13"/>
    </row>
    <row r="211">
      <c r="A211" s="14"/>
      <c r="B211" s="14"/>
      <c r="C211" s="9"/>
      <c r="D211" s="9"/>
      <c r="H211" s="11" t="s">
        <v>22</v>
      </c>
      <c r="I211" s="15"/>
      <c r="J211" s="13"/>
    </row>
    <row r="212">
      <c r="A212" s="14"/>
      <c r="B212" s="14"/>
      <c r="C212" s="9"/>
      <c r="D212" s="9"/>
      <c r="H212" s="11" t="s">
        <v>276</v>
      </c>
      <c r="I212" s="15"/>
      <c r="J212" s="13"/>
    </row>
    <row r="213">
      <c r="A213" s="14" t="s">
        <v>277</v>
      </c>
      <c r="B213" s="14"/>
      <c r="C213" s="9" t="s">
        <v>267</v>
      </c>
      <c r="D213" s="9" t="s">
        <v>272</v>
      </c>
      <c r="E213" s="11" t="s">
        <v>21</v>
      </c>
      <c r="F213" s="11" t="s">
        <v>30</v>
      </c>
      <c r="G213" s="11"/>
      <c r="H213" s="11" t="s">
        <v>273</v>
      </c>
      <c r="I213" s="11" t="s">
        <v>278</v>
      </c>
      <c r="J213" s="12">
        <v>167000.0</v>
      </c>
    </row>
    <row r="214">
      <c r="A214" s="14"/>
      <c r="B214" s="14"/>
      <c r="C214" s="9"/>
      <c r="D214" s="9"/>
      <c r="E214" s="11"/>
      <c r="F214" s="11"/>
      <c r="G214" s="11"/>
      <c r="H214" s="11" t="s">
        <v>143</v>
      </c>
      <c r="I214" s="11" t="s">
        <v>279</v>
      </c>
      <c r="J214" s="13"/>
    </row>
    <row r="215">
      <c r="A215" s="14"/>
      <c r="B215" s="14"/>
      <c r="C215" s="9"/>
      <c r="D215" s="9"/>
      <c r="E215" s="11"/>
      <c r="F215" s="11"/>
      <c r="G215" s="11"/>
      <c r="H215" s="11" t="s">
        <v>22</v>
      </c>
      <c r="I215" s="11"/>
      <c r="J215" s="13"/>
    </row>
    <row r="216">
      <c r="A216" s="14" t="s">
        <v>280</v>
      </c>
      <c r="B216" s="14"/>
      <c r="C216" s="9" t="s">
        <v>281</v>
      </c>
      <c r="D216" s="9" t="s">
        <v>272</v>
      </c>
      <c r="E216" s="11" t="s">
        <v>162</v>
      </c>
      <c r="F216" s="11" t="s">
        <v>25</v>
      </c>
      <c r="G216" s="11"/>
      <c r="H216" s="11" t="s">
        <v>273</v>
      </c>
      <c r="I216" s="12" t="s">
        <v>282</v>
      </c>
      <c r="J216" s="12">
        <v>3361500.0</v>
      </c>
    </row>
    <row r="217">
      <c r="A217" s="14"/>
      <c r="B217" s="14"/>
      <c r="C217" s="9"/>
      <c r="D217" s="9"/>
      <c r="E217" s="11"/>
      <c r="F217" s="11"/>
      <c r="G217" s="11"/>
      <c r="H217" s="11" t="s">
        <v>143</v>
      </c>
      <c r="I217" s="12"/>
      <c r="J217" s="12"/>
    </row>
    <row r="218">
      <c r="A218" s="14"/>
      <c r="B218" s="14"/>
      <c r="C218" s="9"/>
      <c r="D218" s="9"/>
      <c r="E218" s="11"/>
      <c r="F218" s="11"/>
      <c r="G218" s="11"/>
      <c r="H218" s="11" t="s">
        <v>189</v>
      </c>
      <c r="I218" s="12"/>
      <c r="J218" s="12"/>
    </row>
    <row r="219">
      <c r="A219" s="14" t="s">
        <v>283</v>
      </c>
      <c r="B219" s="8" t="s">
        <v>284</v>
      </c>
      <c r="C219" s="9" t="s">
        <v>214</v>
      </c>
      <c r="D219" s="9" t="s">
        <v>285</v>
      </c>
      <c r="E219" s="11" t="s">
        <v>14</v>
      </c>
      <c r="F219" s="11" t="s">
        <v>25</v>
      </c>
      <c r="G219" s="11"/>
      <c r="H219" s="11" t="s">
        <v>273</v>
      </c>
      <c r="I219" s="15" t="s">
        <v>286</v>
      </c>
      <c r="J219" s="13"/>
    </row>
    <row r="220">
      <c r="A220" s="14"/>
      <c r="B220" s="8"/>
      <c r="C220" s="9"/>
      <c r="D220" s="9"/>
      <c r="E220" s="11"/>
      <c r="F220" s="11" t="s">
        <v>91</v>
      </c>
      <c r="G220" s="11"/>
      <c r="I220" s="15" t="s">
        <v>287</v>
      </c>
      <c r="J220" s="13"/>
    </row>
    <row r="221">
      <c r="A221" s="14"/>
      <c r="B221" s="8"/>
      <c r="C221" s="9"/>
      <c r="D221" s="9"/>
      <c r="E221" s="11"/>
      <c r="F221" s="11" t="s">
        <v>43</v>
      </c>
      <c r="G221" s="11"/>
      <c r="I221" s="15" t="s">
        <v>288</v>
      </c>
      <c r="J221" s="13"/>
    </row>
    <row r="222">
      <c r="A222" s="14" t="s">
        <v>289</v>
      </c>
      <c r="B222" s="14"/>
      <c r="C222" s="9" t="s">
        <v>290</v>
      </c>
      <c r="D222" s="9" t="s">
        <v>291</v>
      </c>
      <c r="E222" s="11" t="s">
        <v>292</v>
      </c>
      <c r="F222" s="11" t="s">
        <v>30</v>
      </c>
      <c r="G222" s="11"/>
      <c r="H222" s="11" t="s">
        <v>273</v>
      </c>
      <c r="I222" s="13"/>
      <c r="J222" s="13"/>
    </row>
    <row r="223">
      <c r="A223" s="14"/>
      <c r="B223" s="14"/>
      <c r="C223" s="9"/>
      <c r="D223" s="9"/>
      <c r="E223" s="11"/>
      <c r="F223" s="11"/>
      <c r="G223" s="11"/>
      <c r="H223" s="11" t="s">
        <v>189</v>
      </c>
      <c r="I223" s="13"/>
      <c r="J223" s="13"/>
    </row>
    <row r="224">
      <c r="A224" s="14" t="s">
        <v>293</v>
      </c>
      <c r="B224" s="14"/>
      <c r="C224" s="9" t="s">
        <v>294</v>
      </c>
      <c r="D224" s="9" t="s">
        <v>291</v>
      </c>
      <c r="E224" s="11" t="s">
        <v>295</v>
      </c>
      <c r="F224" s="11" t="s">
        <v>108</v>
      </c>
      <c r="G224" s="11"/>
      <c r="H224" s="11" t="s">
        <v>273</v>
      </c>
      <c r="I224" s="12" t="s">
        <v>296</v>
      </c>
      <c r="J224" s="13"/>
    </row>
    <row r="225">
      <c r="A225" s="14"/>
      <c r="B225" s="14"/>
      <c r="C225" s="9"/>
      <c r="D225" s="9"/>
      <c r="F225" s="11" t="s">
        <v>15</v>
      </c>
      <c r="G225" s="11"/>
      <c r="H225" s="11" t="s">
        <v>189</v>
      </c>
      <c r="I225" s="13"/>
      <c r="J225" s="13"/>
    </row>
    <row r="226">
      <c r="A226" s="14"/>
      <c r="B226" s="14"/>
      <c r="C226" s="9"/>
      <c r="D226" s="9"/>
      <c r="F226" s="11"/>
      <c r="G226" s="11"/>
      <c r="H226" s="11" t="s">
        <v>143</v>
      </c>
      <c r="I226" s="13"/>
      <c r="J226" s="13"/>
    </row>
    <row r="227">
      <c r="A227" s="14" t="s">
        <v>297</v>
      </c>
      <c r="B227" s="8" t="s">
        <v>298</v>
      </c>
      <c r="C227" s="9" t="s">
        <v>299</v>
      </c>
      <c r="D227" s="9" t="s">
        <v>291</v>
      </c>
      <c r="E227" s="11" t="s">
        <v>274</v>
      </c>
      <c r="F227" s="11" t="s">
        <v>30</v>
      </c>
      <c r="G227" s="11"/>
      <c r="H227" s="11" t="s">
        <v>273</v>
      </c>
      <c r="I227" s="12" t="s">
        <v>300</v>
      </c>
      <c r="J227" s="13"/>
      <c r="K227" s="11">
        <v>720.0</v>
      </c>
    </row>
    <row r="228">
      <c r="A228" s="14"/>
      <c r="B228" s="8"/>
      <c r="C228" s="9"/>
      <c r="D228" s="9"/>
      <c r="E228" s="11"/>
      <c r="F228" s="11"/>
      <c r="G228" s="11"/>
      <c r="H228" s="11" t="s">
        <v>189</v>
      </c>
      <c r="I228" s="12" t="s">
        <v>301</v>
      </c>
      <c r="J228" s="13"/>
    </row>
    <row r="229">
      <c r="A229" s="14"/>
      <c r="B229" s="8"/>
      <c r="C229" s="9"/>
      <c r="D229" s="9"/>
      <c r="E229" s="11"/>
      <c r="F229" s="11"/>
      <c r="G229" s="11"/>
      <c r="H229" s="11" t="s">
        <v>302</v>
      </c>
      <c r="I229" s="12"/>
      <c r="J229" s="13"/>
    </row>
    <row r="230">
      <c r="A230" s="14" t="s">
        <v>303</v>
      </c>
      <c r="B230" s="14"/>
      <c r="C230" s="9" t="s">
        <v>267</v>
      </c>
      <c r="D230" s="9" t="s">
        <v>304</v>
      </c>
      <c r="E230" s="11" t="s">
        <v>21</v>
      </c>
      <c r="F230" s="11" t="s">
        <v>182</v>
      </c>
      <c r="G230" s="11"/>
      <c r="H230" s="11" t="s">
        <v>273</v>
      </c>
      <c r="I230" s="12" t="s">
        <v>303</v>
      </c>
      <c r="J230" s="13"/>
    </row>
    <row r="231">
      <c r="A231" s="14"/>
      <c r="B231" s="14"/>
      <c r="C231" s="9"/>
      <c r="D231" s="9"/>
      <c r="F231" s="11" t="s">
        <v>30</v>
      </c>
      <c r="G231" s="11"/>
      <c r="H231" s="11" t="s">
        <v>189</v>
      </c>
      <c r="I231" s="12" t="s">
        <v>305</v>
      </c>
      <c r="J231" s="13"/>
    </row>
    <row r="232">
      <c r="A232" s="14"/>
      <c r="B232" s="14"/>
      <c r="C232" s="9"/>
      <c r="D232" s="9"/>
      <c r="F232" s="11"/>
      <c r="G232" s="11"/>
      <c r="H232" s="11" t="s">
        <v>143</v>
      </c>
      <c r="I232" s="12"/>
      <c r="J232" s="13"/>
    </row>
    <row r="233">
      <c r="A233" s="14"/>
      <c r="B233" s="14"/>
      <c r="C233" s="9"/>
      <c r="D233" s="9"/>
      <c r="F233" s="11"/>
      <c r="G233" s="11"/>
      <c r="H233" s="11" t="s">
        <v>22</v>
      </c>
      <c r="I233" s="12"/>
      <c r="J233" s="13"/>
    </row>
    <row r="234">
      <c r="A234" s="8" t="s">
        <v>306</v>
      </c>
      <c r="B234" s="8" t="s">
        <v>307</v>
      </c>
      <c r="C234" s="9" t="s">
        <v>308</v>
      </c>
      <c r="D234" s="9" t="s">
        <v>304</v>
      </c>
      <c r="E234" s="11" t="s">
        <v>309</v>
      </c>
      <c r="F234" s="11" t="s">
        <v>30</v>
      </c>
      <c r="G234" s="11"/>
      <c r="H234" s="11" t="s">
        <v>273</v>
      </c>
      <c r="I234" s="12" t="s">
        <v>310</v>
      </c>
      <c r="J234" s="13"/>
    </row>
    <row r="235">
      <c r="A235" s="8"/>
      <c r="B235" s="8"/>
      <c r="C235" s="9"/>
      <c r="D235" s="9"/>
      <c r="F235" s="11" t="s">
        <v>43</v>
      </c>
      <c r="G235" s="11"/>
      <c r="H235" s="11" t="s">
        <v>189</v>
      </c>
      <c r="I235" s="13"/>
      <c r="J235" s="13"/>
    </row>
    <row r="236">
      <c r="A236" s="8"/>
      <c r="B236" s="8"/>
      <c r="C236" s="9"/>
      <c r="D236" s="9"/>
      <c r="F236" s="11"/>
      <c r="G236" s="11"/>
      <c r="H236" s="11" t="s">
        <v>276</v>
      </c>
      <c r="I236" s="13"/>
      <c r="J236" s="13"/>
    </row>
    <row r="237">
      <c r="A237" s="14" t="s">
        <v>311</v>
      </c>
      <c r="B237" s="14"/>
      <c r="C237" s="9" t="s">
        <v>312</v>
      </c>
      <c r="D237" s="9" t="s">
        <v>313</v>
      </c>
      <c r="E237" s="11" t="s">
        <v>14</v>
      </c>
      <c r="F237" s="11" t="s">
        <v>30</v>
      </c>
      <c r="G237" s="11"/>
      <c r="H237" s="11" t="s">
        <v>189</v>
      </c>
      <c r="I237" s="12" t="s">
        <v>314</v>
      </c>
      <c r="J237" s="13"/>
    </row>
    <row r="238">
      <c r="A238" s="14"/>
      <c r="B238" s="14"/>
      <c r="C238" s="9"/>
      <c r="D238" s="9"/>
      <c r="E238" s="11"/>
      <c r="F238" s="11" t="s">
        <v>43</v>
      </c>
      <c r="G238" s="11"/>
      <c r="H238" s="11" t="s">
        <v>276</v>
      </c>
      <c r="I238" s="12" t="s">
        <v>315</v>
      </c>
      <c r="J238" s="13"/>
    </row>
    <row r="239">
      <c r="A239" s="14" t="s">
        <v>316</v>
      </c>
      <c r="B239" s="14"/>
      <c r="C239" s="9" t="s">
        <v>317</v>
      </c>
      <c r="D239" s="9" t="s">
        <v>313</v>
      </c>
      <c r="E239" s="11" t="s">
        <v>318</v>
      </c>
      <c r="F239" s="11" t="s">
        <v>176</v>
      </c>
      <c r="G239" s="11"/>
      <c r="H239" s="11" t="s">
        <v>189</v>
      </c>
      <c r="I239" s="12" t="s">
        <v>319</v>
      </c>
      <c r="J239" s="13"/>
    </row>
    <row r="240">
      <c r="A240" s="14"/>
      <c r="B240" s="14"/>
      <c r="C240" s="9"/>
      <c r="D240" s="9"/>
      <c r="E240" s="11"/>
      <c r="F240" s="11"/>
      <c r="G240" s="11"/>
      <c r="H240" s="11" t="s">
        <v>320</v>
      </c>
      <c r="I240" s="12" t="s">
        <v>321</v>
      </c>
      <c r="J240" s="13"/>
    </row>
    <row r="241">
      <c r="A241" s="14"/>
      <c r="B241" s="14"/>
      <c r="C241" s="9"/>
      <c r="D241" s="9"/>
      <c r="E241" s="11"/>
      <c r="F241" s="11"/>
      <c r="G241" s="11"/>
      <c r="H241" s="11" t="s">
        <v>22</v>
      </c>
      <c r="I241" s="12"/>
      <c r="J241" s="13"/>
    </row>
    <row r="242">
      <c r="A242" s="14"/>
      <c r="B242" s="14"/>
      <c r="C242" s="9"/>
      <c r="D242" s="9"/>
      <c r="E242" s="11"/>
      <c r="F242" s="11"/>
      <c r="G242" s="11"/>
      <c r="H242" s="11" t="s">
        <v>322</v>
      </c>
      <c r="I242" s="12"/>
      <c r="J242" s="13"/>
    </row>
    <row r="243">
      <c r="A243" s="14" t="s">
        <v>323</v>
      </c>
      <c r="B243" s="14"/>
      <c r="C243" s="9" t="s">
        <v>324</v>
      </c>
      <c r="D243" s="9" t="s">
        <v>325</v>
      </c>
      <c r="E243" s="11" t="s">
        <v>21</v>
      </c>
      <c r="F243" s="11" t="s">
        <v>82</v>
      </c>
      <c r="G243" s="11"/>
      <c r="H243" s="11" t="s">
        <v>273</v>
      </c>
      <c r="I243" s="12" t="s">
        <v>326</v>
      </c>
      <c r="J243" s="13"/>
    </row>
    <row r="244">
      <c r="A244" s="14"/>
      <c r="B244" s="14"/>
      <c r="C244" s="10" t="s">
        <v>327</v>
      </c>
      <c r="D244" s="9"/>
      <c r="E244" s="11" t="s">
        <v>328</v>
      </c>
      <c r="F244" s="11"/>
      <c r="G244" s="11"/>
      <c r="H244" s="11" t="s">
        <v>189</v>
      </c>
      <c r="I244" s="12" t="s">
        <v>329</v>
      </c>
      <c r="J244" s="13"/>
    </row>
    <row r="245">
      <c r="A245" s="14"/>
      <c r="B245" s="14"/>
      <c r="C245" s="10"/>
      <c r="D245" s="9"/>
      <c r="E245" s="11"/>
      <c r="F245" s="11"/>
      <c r="G245" s="11"/>
      <c r="H245" s="11" t="s">
        <v>22</v>
      </c>
      <c r="I245" s="13"/>
      <c r="J245" s="13"/>
    </row>
    <row r="246">
      <c r="A246" s="14"/>
      <c r="B246" s="14"/>
      <c r="C246" s="10"/>
      <c r="D246" s="9"/>
      <c r="E246" s="11"/>
      <c r="F246" s="11"/>
      <c r="G246" s="11"/>
      <c r="H246" s="11" t="s">
        <v>302</v>
      </c>
      <c r="I246" s="13"/>
      <c r="J246" s="13"/>
    </row>
    <row r="247">
      <c r="A247" s="8" t="s">
        <v>330</v>
      </c>
      <c r="B247" s="8" t="s">
        <v>331</v>
      </c>
      <c r="C247" s="9" t="s">
        <v>332</v>
      </c>
      <c r="D247" s="9" t="s">
        <v>325</v>
      </c>
      <c r="E247" s="11" t="s">
        <v>333</v>
      </c>
      <c r="F247" s="11" t="s">
        <v>25</v>
      </c>
      <c r="G247" s="11"/>
      <c r="H247" s="11" t="s">
        <v>273</v>
      </c>
      <c r="I247" s="15" t="s">
        <v>334</v>
      </c>
      <c r="J247" s="13"/>
    </row>
    <row r="248">
      <c r="A248" s="8"/>
      <c r="B248" s="8"/>
      <c r="C248" s="9"/>
      <c r="D248" s="9"/>
      <c r="E248" s="11"/>
      <c r="F248" s="11"/>
      <c r="G248" s="11"/>
      <c r="H248" s="11" t="s">
        <v>189</v>
      </c>
      <c r="I248" s="15"/>
      <c r="J248" s="13"/>
    </row>
    <row r="249">
      <c r="A249" s="8"/>
      <c r="B249" s="8"/>
      <c r="C249" s="9"/>
      <c r="D249" s="9"/>
      <c r="E249" s="11"/>
      <c r="F249" s="11"/>
      <c r="G249" s="11"/>
      <c r="H249" s="11" t="s">
        <v>143</v>
      </c>
      <c r="I249" s="15"/>
      <c r="J249" s="13"/>
    </row>
    <row r="250">
      <c r="A250" s="8" t="s">
        <v>335</v>
      </c>
      <c r="B250" s="8" t="s">
        <v>336</v>
      </c>
      <c r="C250" s="9" t="s">
        <v>308</v>
      </c>
      <c r="D250" s="9" t="s">
        <v>325</v>
      </c>
      <c r="E250" s="11" t="s">
        <v>309</v>
      </c>
      <c r="F250" s="11" t="s">
        <v>30</v>
      </c>
      <c r="G250" s="11"/>
      <c r="H250" s="11" t="s">
        <v>273</v>
      </c>
      <c r="I250" s="11" t="s">
        <v>337</v>
      </c>
      <c r="J250" s="13"/>
    </row>
    <row r="251">
      <c r="A251" s="8"/>
      <c r="B251" s="8"/>
      <c r="C251" s="9"/>
      <c r="D251" s="9"/>
      <c r="E251" s="11"/>
      <c r="F251" s="11"/>
      <c r="G251" s="11"/>
      <c r="H251" s="11" t="s">
        <v>276</v>
      </c>
      <c r="I251" s="11"/>
      <c r="J251" s="13"/>
    </row>
    <row r="252">
      <c r="A252" s="14" t="s">
        <v>338</v>
      </c>
      <c r="B252" s="14"/>
      <c r="C252" s="9" t="s">
        <v>299</v>
      </c>
      <c r="D252" s="9" t="s">
        <v>325</v>
      </c>
      <c r="E252" s="11" t="s">
        <v>274</v>
      </c>
      <c r="F252" s="11" t="s">
        <v>25</v>
      </c>
      <c r="G252" s="11"/>
      <c r="H252" s="11" t="s">
        <v>269</v>
      </c>
      <c r="I252" s="12" t="s">
        <v>339</v>
      </c>
      <c r="J252" s="13"/>
    </row>
    <row r="253">
      <c r="A253" s="14"/>
      <c r="B253" s="14"/>
      <c r="C253" s="9"/>
      <c r="D253" s="9"/>
      <c r="F253" s="11" t="s">
        <v>176</v>
      </c>
      <c r="G253" s="11"/>
      <c r="H253" s="11" t="s">
        <v>22</v>
      </c>
      <c r="I253" s="13"/>
      <c r="J253" s="13"/>
    </row>
    <row r="254">
      <c r="A254" s="14"/>
      <c r="B254" s="14"/>
      <c r="C254" s="9"/>
      <c r="D254" s="9"/>
      <c r="F254" s="11" t="s">
        <v>43</v>
      </c>
      <c r="G254" s="11"/>
      <c r="H254" s="11" t="s">
        <v>189</v>
      </c>
      <c r="I254" s="13"/>
      <c r="J254" s="13"/>
    </row>
    <row r="255">
      <c r="A255" s="14" t="s">
        <v>340</v>
      </c>
      <c r="B255" s="14"/>
      <c r="C255" s="9" t="s">
        <v>341</v>
      </c>
      <c r="D255" s="9" t="s">
        <v>325</v>
      </c>
      <c r="E255" s="11" t="s">
        <v>107</v>
      </c>
      <c r="F255" s="11" t="s">
        <v>30</v>
      </c>
      <c r="G255" s="11"/>
      <c r="H255" s="11" t="s">
        <v>273</v>
      </c>
      <c r="I255" s="12" t="s">
        <v>342</v>
      </c>
      <c r="J255" s="13"/>
    </row>
    <row r="256">
      <c r="A256" s="14"/>
      <c r="B256" s="14"/>
      <c r="C256" s="9"/>
      <c r="D256" s="9"/>
      <c r="E256" s="11"/>
      <c r="F256" s="11"/>
      <c r="G256" s="11"/>
      <c r="H256" s="11" t="s">
        <v>189</v>
      </c>
      <c r="I256" s="12"/>
      <c r="J256" s="13"/>
    </row>
    <row r="257">
      <c r="A257" s="14"/>
      <c r="B257" s="14"/>
      <c r="C257" s="9"/>
      <c r="D257" s="9"/>
      <c r="E257" s="11"/>
      <c r="F257" s="11"/>
      <c r="G257" s="11"/>
      <c r="H257" s="11" t="s">
        <v>143</v>
      </c>
      <c r="I257" s="12"/>
      <c r="J257" s="13"/>
    </row>
    <row r="258">
      <c r="A258" s="14" t="s">
        <v>343</v>
      </c>
      <c r="B258" s="14"/>
      <c r="C258" s="9" t="s">
        <v>344</v>
      </c>
      <c r="D258" s="9" t="s">
        <v>345</v>
      </c>
      <c r="E258" s="11" t="s">
        <v>107</v>
      </c>
      <c r="F258" s="11" t="s">
        <v>25</v>
      </c>
      <c r="G258" s="11"/>
      <c r="H258" s="11" t="s">
        <v>273</v>
      </c>
      <c r="I258" s="15" t="s">
        <v>346</v>
      </c>
      <c r="J258" s="13"/>
    </row>
    <row r="259">
      <c r="A259" s="14"/>
      <c r="B259" s="14"/>
      <c r="C259" s="9"/>
      <c r="D259" s="9"/>
      <c r="E259" s="11"/>
      <c r="F259" s="11" t="s">
        <v>30</v>
      </c>
      <c r="G259" s="11"/>
      <c r="H259" s="11" t="s">
        <v>189</v>
      </c>
      <c r="J259" s="13"/>
    </row>
    <row r="260">
      <c r="A260" s="14"/>
      <c r="B260" s="14"/>
      <c r="C260" s="9"/>
      <c r="D260" s="9"/>
      <c r="E260" s="11"/>
      <c r="F260" s="11" t="s">
        <v>43</v>
      </c>
      <c r="G260" s="11"/>
      <c r="H260" s="11" t="s">
        <v>143</v>
      </c>
      <c r="I260" s="13"/>
      <c r="J260" s="13"/>
    </row>
    <row r="261">
      <c r="A261" s="14" t="s">
        <v>347</v>
      </c>
      <c r="B261" s="14"/>
      <c r="C261" s="9" t="s">
        <v>299</v>
      </c>
      <c r="D261" s="9" t="s">
        <v>345</v>
      </c>
      <c r="E261" s="11" t="s">
        <v>274</v>
      </c>
      <c r="F261" s="11" t="s">
        <v>25</v>
      </c>
      <c r="G261" s="11"/>
      <c r="H261" s="11" t="s">
        <v>269</v>
      </c>
      <c r="I261" s="12" t="s">
        <v>339</v>
      </c>
      <c r="J261" s="13"/>
    </row>
    <row r="262">
      <c r="A262" s="14"/>
      <c r="B262" s="14"/>
      <c r="C262" s="9"/>
      <c r="D262" s="9"/>
      <c r="E262" s="11"/>
      <c r="F262" s="11"/>
      <c r="G262" s="11"/>
      <c r="H262" s="11" t="s">
        <v>22</v>
      </c>
      <c r="I262" s="12"/>
      <c r="J262" s="13"/>
    </row>
    <row r="263">
      <c r="A263" s="14"/>
      <c r="B263" s="14"/>
      <c r="C263" s="9"/>
      <c r="D263" s="9"/>
      <c r="E263" s="11"/>
      <c r="F263" s="11"/>
      <c r="G263" s="11"/>
      <c r="H263" s="11" t="s">
        <v>189</v>
      </c>
      <c r="I263" s="12"/>
      <c r="J263" s="13"/>
    </row>
    <row r="264">
      <c r="A264" s="14" t="s">
        <v>348</v>
      </c>
      <c r="B264" s="14"/>
      <c r="C264" s="9" t="s">
        <v>267</v>
      </c>
      <c r="D264" s="9" t="s">
        <v>345</v>
      </c>
      <c r="E264" s="11" t="s">
        <v>21</v>
      </c>
      <c r="F264" s="11" t="s">
        <v>108</v>
      </c>
      <c r="G264" s="11"/>
      <c r="H264" s="11" t="s">
        <v>273</v>
      </c>
      <c r="I264" s="11" t="s">
        <v>349</v>
      </c>
      <c r="J264" s="13"/>
    </row>
    <row r="265">
      <c r="A265" s="14"/>
      <c r="B265" s="14"/>
      <c r="C265" s="9"/>
      <c r="D265" s="9"/>
      <c r="E265" s="11"/>
      <c r="F265" s="11" t="s">
        <v>79</v>
      </c>
      <c r="G265" s="11"/>
      <c r="H265" s="11" t="s">
        <v>189</v>
      </c>
      <c r="I265" s="11" t="s">
        <v>350</v>
      </c>
      <c r="J265" s="13"/>
    </row>
    <row r="266">
      <c r="A266" s="14" t="s">
        <v>351</v>
      </c>
      <c r="B266" s="14"/>
      <c r="C266" s="15" t="s">
        <v>308</v>
      </c>
      <c r="D266" s="9" t="s">
        <v>352</v>
      </c>
      <c r="E266" s="11" t="s">
        <v>181</v>
      </c>
      <c r="F266" s="11" t="s">
        <v>30</v>
      </c>
      <c r="G266" s="11"/>
      <c r="H266" s="11" t="s">
        <v>273</v>
      </c>
      <c r="I266" s="12" t="s">
        <v>353</v>
      </c>
      <c r="J266" s="13"/>
    </row>
    <row r="267">
      <c r="A267" s="14"/>
      <c r="B267" s="14"/>
      <c r="C267" s="15"/>
      <c r="D267" s="9"/>
      <c r="E267" s="11" t="s">
        <v>309</v>
      </c>
      <c r="F267" s="11"/>
      <c r="G267" s="11"/>
      <c r="H267" s="11" t="s">
        <v>189</v>
      </c>
      <c r="I267" s="13"/>
      <c r="J267" s="13"/>
    </row>
    <row r="268">
      <c r="A268" s="14"/>
      <c r="B268" s="14"/>
      <c r="C268" s="15"/>
      <c r="D268" s="9"/>
      <c r="E268" s="11"/>
      <c r="F268" s="11"/>
      <c r="G268" s="11"/>
      <c r="H268" s="11" t="s">
        <v>276</v>
      </c>
      <c r="I268" s="13"/>
      <c r="J268" s="13"/>
    </row>
    <row r="269">
      <c r="A269" s="8" t="s">
        <v>354</v>
      </c>
      <c r="B269" s="8" t="s">
        <v>355</v>
      </c>
      <c r="C269" s="9" t="s">
        <v>308</v>
      </c>
      <c r="D269" s="9" t="s">
        <v>352</v>
      </c>
      <c r="E269" s="11" t="s">
        <v>309</v>
      </c>
      <c r="F269" s="11" t="s">
        <v>25</v>
      </c>
      <c r="G269" s="11"/>
      <c r="H269" s="11" t="s">
        <v>273</v>
      </c>
      <c r="I269" s="12" t="s">
        <v>310</v>
      </c>
      <c r="J269" s="13"/>
    </row>
    <row r="270">
      <c r="A270" s="8"/>
      <c r="B270" s="8"/>
      <c r="C270" s="9"/>
      <c r="D270" s="9"/>
      <c r="E270" s="11"/>
      <c r="F270" s="11" t="s">
        <v>30</v>
      </c>
      <c r="G270" s="11"/>
      <c r="H270" s="11" t="s">
        <v>189</v>
      </c>
      <c r="I270" s="13"/>
      <c r="J270" s="13"/>
    </row>
    <row r="271">
      <c r="A271" s="8"/>
      <c r="B271" s="8"/>
      <c r="C271" s="9"/>
      <c r="D271" s="9"/>
      <c r="E271" s="11"/>
      <c r="F271" s="11"/>
      <c r="G271" s="11"/>
      <c r="H271" s="11" t="s">
        <v>276</v>
      </c>
      <c r="I271" s="13"/>
      <c r="J271" s="13"/>
    </row>
    <row r="272">
      <c r="A272" s="14" t="s">
        <v>356</v>
      </c>
      <c r="B272" s="14"/>
      <c r="C272" s="9" t="s">
        <v>357</v>
      </c>
      <c r="D272" s="9" t="s">
        <v>352</v>
      </c>
      <c r="E272" s="11" t="s">
        <v>358</v>
      </c>
      <c r="F272" s="11" t="s">
        <v>15</v>
      </c>
      <c r="G272" s="11"/>
      <c r="I272" s="13"/>
    </row>
    <row r="273">
      <c r="A273" s="8" t="s">
        <v>359</v>
      </c>
      <c r="B273" s="8" t="s">
        <v>360</v>
      </c>
      <c r="C273" s="9" t="s">
        <v>361</v>
      </c>
      <c r="D273" s="9" t="s">
        <v>362</v>
      </c>
      <c r="E273" s="11" t="s">
        <v>14</v>
      </c>
      <c r="F273" s="11" t="s">
        <v>25</v>
      </c>
      <c r="G273" s="11"/>
      <c r="H273" s="11" t="s">
        <v>189</v>
      </c>
      <c r="I273" s="15" t="s">
        <v>363</v>
      </c>
      <c r="J273" s="11">
        <v>81000.0</v>
      </c>
      <c r="K273" s="12">
        <v>4692.0</v>
      </c>
    </row>
    <row r="274">
      <c r="A274" s="8"/>
      <c r="B274" s="8"/>
      <c r="C274" s="9"/>
      <c r="D274" s="9"/>
      <c r="E274" s="11"/>
      <c r="F274" s="11" t="s">
        <v>30</v>
      </c>
      <c r="G274" s="11"/>
      <c r="H274" s="11" t="s">
        <v>276</v>
      </c>
      <c r="I274" s="15" t="s">
        <v>364</v>
      </c>
      <c r="J274" s="13"/>
    </row>
    <row r="275">
      <c r="A275" s="14" t="s">
        <v>365</v>
      </c>
      <c r="B275" s="14"/>
      <c r="C275" s="9" t="s">
        <v>366</v>
      </c>
      <c r="D275" s="9" t="s">
        <v>362</v>
      </c>
      <c r="E275" s="11" t="s">
        <v>274</v>
      </c>
      <c r="F275" s="11" t="s">
        <v>30</v>
      </c>
      <c r="G275" s="11"/>
      <c r="H275" s="11" t="s">
        <v>189</v>
      </c>
      <c r="I275" s="12" t="s">
        <v>367</v>
      </c>
      <c r="J275" s="13"/>
    </row>
    <row r="276">
      <c r="A276" s="14"/>
      <c r="B276" s="14"/>
      <c r="C276" s="9"/>
      <c r="D276" s="9"/>
      <c r="H276" s="11" t="s">
        <v>320</v>
      </c>
      <c r="I276" s="12" t="s">
        <v>368</v>
      </c>
      <c r="J276" s="13"/>
    </row>
    <row r="277">
      <c r="A277" s="14"/>
      <c r="B277" s="14"/>
      <c r="C277" s="9"/>
      <c r="D277" s="9"/>
      <c r="H277" s="11" t="s">
        <v>22</v>
      </c>
      <c r="I277" s="12"/>
      <c r="J277" s="13"/>
    </row>
    <row r="278">
      <c r="A278" s="14"/>
      <c r="B278" s="14"/>
      <c r="C278" s="9"/>
      <c r="D278" s="9"/>
      <c r="H278" s="11" t="s">
        <v>322</v>
      </c>
      <c r="I278" s="12"/>
      <c r="J278" s="13"/>
    </row>
    <row r="279">
      <c r="A279" s="14" t="s">
        <v>369</v>
      </c>
      <c r="B279" s="14"/>
      <c r="C279" s="9" t="s">
        <v>370</v>
      </c>
      <c r="D279" s="9" t="s">
        <v>371</v>
      </c>
      <c r="E279" s="11" t="s">
        <v>21</v>
      </c>
      <c r="F279" s="11" t="s">
        <v>182</v>
      </c>
      <c r="G279" s="11"/>
      <c r="H279" s="11" t="s">
        <v>269</v>
      </c>
      <c r="I279" s="12" t="s">
        <v>372</v>
      </c>
      <c r="J279" s="11">
        <v>115000.0</v>
      </c>
      <c r="K279" s="12">
        <v>108692.0</v>
      </c>
    </row>
    <row r="280">
      <c r="A280" s="14"/>
      <c r="B280" s="14"/>
      <c r="C280" s="9"/>
      <c r="D280" s="9"/>
      <c r="F280" s="11" t="s">
        <v>30</v>
      </c>
      <c r="G280" s="11"/>
      <c r="H280" s="11" t="s">
        <v>189</v>
      </c>
      <c r="I280" s="13"/>
      <c r="J280" s="13"/>
    </row>
    <row r="281">
      <c r="A281" s="14"/>
      <c r="B281" s="14"/>
      <c r="C281" s="9"/>
      <c r="D281" s="9"/>
      <c r="F281" s="11"/>
      <c r="G281" s="11"/>
      <c r="H281" s="11" t="s">
        <v>22</v>
      </c>
      <c r="I281" s="13"/>
      <c r="J281" s="13"/>
    </row>
    <row r="282">
      <c r="A282" s="14" t="s">
        <v>373</v>
      </c>
      <c r="B282" s="14"/>
      <c r="C282" s="9" t="s">
        <v>374</v>
      </c>
      <c r="D282" s="9" t="s">
        <v>375</v>
      </c>
      <c r="E282" s="11" t="s">
        <v>21</v>
      </c>
      <c r="F282" s="11" t="s">
        <v>148</v>
      </c>
      <c r="G282" s="11" t="s">
        <v>376</v>
      </c>
      <c r="H282" s="11" t="s">
        <v>189</v>
      </c>
      <c r="I282" s="12" t="s">
        <v>377</v>
      </c>
      <c r="J282" s="13"/>
    </row>
    <row r="283">
      <c r="A283" s="14"/>
      <c r="B283" s="14"/>
      <c r="C283" s="9"/>
      <c r="D283" s="9"/>
      <c r="F283" s="11" t="s">
        <v>30</v>
      </c>
      <c r="G283" s="11" t="s">
        <v>378</v>
      </c>
      <c r="H283" s="11" t="s">
        <v>302</v>
      </c>
      <c r="I283" s="12" t="s">
        <v>379</v>
      </c>
      <c r="J283" s="13"/>
    </row>
    <row r="284">
      <c r="A284" s="14" t="s">
        <v>380</v>
      </c>
      <c r="B284" s="14"/>
      <c r="C284" s="9" t="s">
        <v>344</v>
      </c>
      <c r="D284" s="9" t="s">
        <v>375</v>
      </c>
      <c r="E284" s="11" t="s">
        <v>107</v>
      </c>
      <c r="F284" s="11" t="s">
        <v>30</v>
      </c>
      <c r="H284" s="11" t="s">
        <v>273</v>
      </c>
      <c r="I284" s="12" t="s">
        <v>346</v>
      </c>
      <c r="K284" s="12">
        <v>4168.0</v>
      </c>
    </row>
    <row r="285">
      <c r="A285" s="14"/>
      <c r="B285" s="14"/>
      <c r="C285" s="9"/>
      <c r="D285" s="9"/>
      <c r="E285" s="11"/>
      <c r="F285" s="11"/>
      <c r="H285" s="11" t="s">
        <v>189</v>
      </c>
      <c r="I285" s="12"/>
      <c r="J285" s="12"/>
    </row>
    <row r="286">
      <c r="A286" s="14"/>
      <c r="B286" s="14"/>
      <c r="C286" s="9"/>
      <c r="D286" s="9"/>
      <c r="E286" s="11"/>
      <c r="F286" s="11"/>
      <c r="H286" s="11" t="s">
        <v>143</v>
      </c>
      <c r="I286" s="12"/>
      <c r="J286" s="12"/>
    </row>
    <row r="287">
      <c r="A287" s="14" t="s">
        <v>381</v>
      </c>
      <c r="B287" s="14"/>
      <c r="C287" s="9" t="s">
        <v>382</v>
      </c>
      <c r="D287" s="9" t="s">
        <v>375</v>
      </c>
      <c r="E287" s="11" t="s">
        <v>21</v>
      </c>
      <c r="F287" s="11" t="s">
        <v>25</v>
      </c>
      <c r="H287" s="11" t="s">
        <v>269</v>
      </c>
      <c r="I287" s="12" t="s">
        <v>383</v>
      </c>
      <c r="J287" s="11">
        <v>4000000.0</v>
      </c>
      <c r="K287" s="12">
        <v>308.0</v>
      </c>
    </row>
    <row r="288">
      <c r="A288" s="14"/>
      <c r="B288" s="14"/>
      <c r="C288" s="9"/>
      <c r="D288" s="9"/>
      <c r="F288" s="11" t="s">
        <v>43</v>
      </c>
      <c r="H288" s="11" t="s">
        <v>189</v>
      </c>
      <c r="I288" s="12" t="s">
        <v>384</v>
      </c>
      <c r="J288" s="13"/>
    </row>
    <row r="289">
      <c r="A289" s="14"/>
      <c r="B289" s="14"/>
      <c r="C289" s="9"/>
      <c r="D289" s="9"/>
      <c r="F289" s="11"/>
      <c r="H289" s="11" t="s">
        <v>302</v>
      </c>
      <c r="I289" s="12" t="s">
        <v>385</v>
      </c>
      <c r="J289" s="13"/>
    </row>
    <row r="290">
      <c r="A290" s="14"/>
      <c r="B290" s="14"/>
      <c r="C290" s="9"/>
      <c r="D290" s="9"/>
      <c r="F290" s="11"/>
      <c r="H290" s="11" t="s">
        <v>22</v>
      </c>
      <c r="I290" s="12"/>
      <c r="J290" s="13"/>
    </row>
    <row r="291">
      <c r="A291" s="14" t="s">
        <v>386</v>
      </c>
      <c r="B291" s="14"/>
      <c r="C291" s="9" t="s">
        <v>382</v>
      </c>
      <c r="D291" s="9" t="s">
        <v>387</v>
      </c>
      <c r="E291" s="11" t="s">
        <v>21</v>
      </c>
      <c r="F291" s="11" t="s">
        <v>25</v>
      </c>
      <c r="H291" s="11" t="s">
        <v>269</v>
      </c>
      <c r="I291" s="12" t="s">
        <v>388</v>
      </c>
      <c r="J291" s="13"/>
    </row>
    <row r="292">
      <c r="A292" s="14"/>
      <c r="B292" s="14"/>
      <c r="C292" s="9"/>
      <c r="D292" s="9"/>
      <c r="F292" s="11" t="s">
        <v>30</v>
      </c>
      <c r="H292" s="11" t="s">
        <v>189</v>
      </c>
      <c r="I292" s="13"/>
      <c r="J292" s="13"/>
    </row>
    <row r="293">
      <c r="A293" s="14"/>
      <c r="B293" s="14"/>
      <c r="C293" s="9"/>
      <c r="D293" s="9"/>
      <c r="F293" s="11" t="s">
        <v>43</v>
      </c>
      <c r="H293" s="11" t="s">
        <v>302</v>
      </c>
      <c r="I293" s="13"/>
      <c r="J293" s="13"/>
    </row>
    <row r="294">
      <c r="A294" s="14"/>
      <c r="B294" s="14"/>
      <c r="C294" s="9"/>
      <c r="D294" s="9"/>
      <c r="F294" s="11"/>
      <c r="H294" s="11" t="s">
        <v>22</v>
      </c>
      <c r="I294" s="13"/>
      <c r="J294" s="13"/>
    </row>
    <row r="295">
      <c r="A295" s="14" t="s">
        <v>389</v>
      </c>
      <c r="B295" s="14"/>
      <c r="C295" s="9" t="s">
        <v>390</v>
      </c>
      <c r="D295" s="9" t="s">
        <v>387</v>
      </c>
      <c r="E295" s="11" t="s">
        <v>219</v>
      </c>
      <c r="F295" s="11" t="s">
        <v>30</v>
      </c>
      <c r="H295" s="11" t="s">
        <v>189</v>
      </c>
      <c r="I295" s="12" t="s">
        <v>391</v>
      </c>
      <c r="J295" s="13"/>
    </row>
    <row r="296">
      <c r="A296" s="14"/>
      <c r="B296" s="14"/>
      <c r="C296" s="9"/>
      <c r="D296" s="9"/>
      <c r="E296" s="11"/>
      <c r="F296" s="11"/>
      <c r="H296" s="11" t="s">
        <v>26</v>
      </c>
      <c r="I296" s="12"/>
      <c r="J296" s="13"/>
    </row>
    <row r="297">
      <c r="A297" s="14" t="s">
        <v>392</v>
      </c>
      <c r="B297" s="14"/>
      <c r="C297" s="9" t="s">
        <v>393</v>
      </c>
      <c r="D297" s="9" t="s">
        <v>387</v>
      </c>
      <c r="E297" s="11" t="s">
        <v>394</v>
      </c>
      <c r="F297" s="11" t="s">
        <v>30</v>
      </c>
      <c r="H297" s="11" t="s">
        <v>189</v>
      </c>
      <c r="I297" s="12" t="s">
        <v>395</v>
      </c>
      <c r="K297" s="12">
        <v>263.0</v>
      </c>
    </row>
    <row r="298">
      <c r="A298" s="14"/>
      <c r="B298" s="14"/>
      <c r="C298" s="9"/>
      <c r="D298" s="9"/>
      <c r="E298" s="11" t="s">
        <v>14</v>
      </c>
      <c r="F298" s="11"/>
      <c r="H298" s="11" t="s">
        <v>143</v>
      </c>
      <c r="I298" s="13"/>
      <c r="J298" s="13"/>
    </row>
    <row r="299">
      <c r="A299" s="14" t="s">
        <v>396</v>
      </c>
      <c r="B299" s="14"/>
      <c r="C299" s="9" t="s">
        <v>299</v>
      </c>
      <c r="D299" s="9" t="s">
        <v>387</v>
      </c>
      <c r="E299" s="11" t="s">
        <v>274</v>
      </c>
      <c r="F299" s="11" t="s">
        <v>25</v>
      </c>
      <c r="H299" s="11" t="s">
        <v>189</v>
      </c>
      <c r="I299" s="13"/>
      <c r="K299" s="12">
        <v>466215.0</v>
      </c>
    </row>
    <row r="300">
      <c r="A300" s="14"/>
      <c r="B300" s="14"/>
      <c r="C300" s="9"/>
      <c r="D300" s="9"/>
      <c r="F300" s="11" t="s">
        <v>30</v>
      </c>
      <c r="H300" s="11" t="s">
        <v>302</v>
      </c>
      <c r="I300" s="13"/>
      <c r="J300" s="13"/>
    </row>
    <row r="301">
      <c r="A301" s="14" t="s">
        <v>397</v>
      </c>
      <c r="B301" s="14"/>
      <c r="C301" s="9" t="s">
        <v>366</v>
      </c>
      <c r="D301" s="9" t="s">
        <v>398</v>
      </c>
      <c r="E301" s="11" t="s">
        <v>274</v>
      </c>
      <c r="F301" s="11" t="s">
        <v>30</v>
      </c>
      <c r="H301" s="11" t="s">
        <v>189</v>
      </c>
      <c r="I301" s="12" t="s">
        <v>399</v>
      </c>
      <c r="J301" s="13"/>
    </row>
    <row r="302">
      <c r="A302" s="14"/>
      <c r="B302" s="14"/>
      <c r="C302" s="9"/>
      <c r="D302" s="9"/>
      <c r="E302" s="11"/>
      <c r="F302" s="11"/>
      <c r="I302" s="12" t="s">
        <v>400</v>
      </c>
      <c r="J30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7.29"/>
    <col customWidth="1" min="3" max="3" width="20.43"/>
    <col customWidth="1" min="4" max="4" width="25.14"/>
    <col customWidth="1" min="5" max="5" width="8.86"/>
    <col customWidth="1" min="6" max="6" width="14.14"/>
    <col customWidth="1" min="7" max="7" width="12.71"/>
    <col customWidth="1" min="8" max="8" width="14.29"/>
    <col customWidth="1" min="9" max="9" width="13.0"/>
    <col customWidth="1" min="10" max="10" width="24.14"/>
    <col customWidth="1" min="11" max="11" width="17.14"/>
    <col customWidth="1" min="12" max="12" width="17.86"/>
  </cols>
  <sheetData>
    <row r="1">
      <c r="A1" s="2" t="s">
        <v>401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4" t="s">
        <v>8</v>
      </c>
      <c r="K1" s="5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7"/>
    </row>
    <row r="2">
      <c r="A2" s="10">
        <v>1.0</v>
      </c>
      <c r="B2" s="8" t="s">
        <v>11</v>
      </c>
      <c r="C2" s="8"/>
      <c r="D2" s="9" t="s">
        <v>12</v>
      </c>
      <c r="E2" s="10" t="s">
        <v>13</v>
      </c>
      <c r="F2" s="11" t="s">
        <v>14</v>
      </c>
      <c r="G2" s="11" t="s">
        <v>15</v>
      </c>
      <c r="H2" s="11"/>
      <c r="I2" s="11" t="s">
        <v>16</v>
      </c>
      <c r="J2" s="12"/>
      <c r="K2" s="12"/>
    </row>
    <row r="3">
      <c r="A3" s="10"/>
      <c r="B3" s="8"/>
      <c r="C3" s="8"/>
      <c r="D3" s="9"/>
      <c r="E3" s="10"/>
      <c r="G3" s="11" t="s">
        <v>17</v>
      </c>
      <c r="H3" s="11"/>
      <c r="I3" s="11" t="s">
        <v>18</v>
      </c>
      <c r="J3" s="13"/>
      <c r="K3" s="13"/>
    </row>
    <row r="4">
      <c r="A4" s="10">
        <v>2.0</v>
      </c>
      <c r="B4" s="8" t="s">
        <v>19</v>
      </c>
      <c r="C4" s="8"/>
      <c r="D4" s="9" t="s">
        <v>12</v>
      </c>
      <c r="E4" s="10" t="s">
        <v>20</v>
      </c>
      <c r="F4" s="11" t="s">
        <v>21</v>
      </c>
      <c r="G4" s="11" t="s">
        <v>15</v>
      </c>
      <c r="H4" s="11"/>
      <c r="I4" s="11" t="s">
        <v>22</v>
      </c>
      <c r="J4" s="12" t="s">
        <v>23</v>
      </c>
      <c r="K4" s="12"/>
    </row>
    <row r="5">
      <c r="A5" s="10"/>
      <c r="B5" s="8"/>
      <c r="C5" s="8"/>
      <c r="D5" s="9"/>
      <c r="E5" s="10"/>
      <c r="G5" s="11" t="s">
        <v>24</v>
      </c>
      <c r="H5" s="11"/>
      <c r="I5" s="11" t="s">
        <v>18</v>
      </c>
      <c r="J5" s="13"/>
      <c r="K5" s="13"/>
    </row>
    <row r="6">
      <c r="A6" s="10"/>
      <c r="B6" s="8"/>
      <c r="C6" s="8"/>
      <c r="D6" s="9"/>
      <c r="E6" s="10"/>
      <c r="G6" s="11" t="s">
        <v>25</v>
      </c>
      <c r="H6" s="11"/>
      <c r="I6" s="11" t="s">
        <v>26</v>
      </c>
      <c r="J6" s="13"/>
      <c r="K6" s="13"/>
    </row>
    <row r="7">
      <c r="A7" s="10">
        <v>3.0</v>
      </c>
      <c r="B7" s="8" t="s">
        <v>27</v>
      </c>
      <c r="C7" s="8"/>
      <c r="D7" s="9" t="s">
        <v>28</v>
      </c>
      <c r="E7" s="10" t="s">
        <v>29</v>
      </c>
      <c r="F7" s="11" t="s">
        <v>21</v>
      </c>
      <c r="G7" s="11" t="s">
        <v>30</v>
      </c>
      <c r="H7" s="11"/>
      <c r="I7" s="11" t="s">
        <v>22</v>
      </c>
      <c r="J7" s="12" t="s">
        <v>31</v>
      </c>
      <c r="K7" s="12"/>
    </row>
    <row r="8">
      <c r="A8" s="10"/>
      <c r="B8" s="8"/>
      <c r="C8" s="8"/>
      <c r="D8" s="10" t="s">
        <v>32</v>
      </c>
      <c r="E8" s="10"/>
      <c r="I8" s="11" t="s">
        <v>18</v>
      </c>
      <c r="J8" s="13"/>
      <c r="K8" s="13"/>
    </row>
    <row r="9">
      <c r="A9" s="10"/>
      <c r="B9" s="8"/>
      <c r="C9" s="8"/>
      <c r="D9" s="10"/>
      <c r="E9" s="10"/>
      <c r="I9" s="11" t="s">
        <v>26</v>
      </c>
      <c r="J9" s="13"/>
      <c r="K9" s="13"/>
    </row>
    <row r="10">
      <c r="A10" s="10">
        <v>4.0</v>
      </c>
      <c r="B10" s="8" t="s">
        <v>402</v>
      </c>
      <c r="C10" s="8"/>
      <c r="D10" s="9" t="s">
        <v>403</v>
      </c>
      <c r="E10" s="10" t="s">
        <v>34</v>
      </c>
      <c r="F10" s="11" t="s">
        <v>404</v>
      </c>
      <c r="G10" s="11" t="s">
        <v>65</v>
      </c>
      <c r="H10" s="11"/>
      <c r="I10" s="11" t="s">
        <v>18</v>
      </c>
      <c r="J10" s="13"/>
      <c r="K10" s="13"/>
    </row>
    <row r="11">
      <c r="A11" s="10"/>
      <c r="B11" s="8"/>
      <c r="C11" s="8"/>
      <c r="D11" s="9"/>
      <c r="E11" s="10"/>
      <c r="F11" s="11"/>
      <c r="G11" s="11" t="s">
        <v>43</v>
      </c>
      <c r="H11" s="11"/>
      <c r="J11" s="13"/>
      <c r="K11" s="13"/>
    </row>
    <row r="12">
      <c r="A12" s="10">
        <v>5.0</v>
      </c>
      <c r="B12" s="8" t="s">
        <v>33</v>
      </c>
      <c r="C12" s="8"/>
      <c r="D12" s="9" t="s">
        <v>28</v>
      </c>
      <c r="E12" s="10" t="s">
        <v>34</v>
      </c>
      <c r="F12" s="11" t="s">
        <v>21</v>
      </c>
      <c r="G12" s="11" t="s">
        <v>30</v>
      </c>
      <c r="H12" s="11"/>
      <c r="I12" s="11" t="s">
        <v>22</v>
      </c>
      <c r="J12" s="12" t="s">
        <v>35</v>
      </c>
      <c r="K12" s="12"/>
    </row>
    <row r="13">
      <c r="A13" s="10"/>
      <c r="B13" s="8"/>
      <c r="C13" s="8"/>
      <c r="D13" s="9"/>
      <c r="E13" s="10"/>
      <c r="G13" s="11" t="s">
        <v>17</v>
      </c>
      <c r="H13" s="11"/>
      <c r="I13" s="11" t="s">
        <v>18</v>
      </c>
      <c r="J13" s="13"/>
      <c r="K13" s="13"/>
    </row>
    <row r="14">
      <c r="A14" s="10"/>
      <c r="B14" s="8"/>
      <c r="C14" s="8"/>
      <c r="D14" s="9"/>
      <c r="E14" s="10"/>
      <c r="G14" s="11"/>
      <c r="H14" s="11"/>
      <c r="I14" s="11" t="s">
        <v>26</v>
      </c>
      <c r="J14" s="13"/>
      <c r="K14" s="13"/>
    </row>
    <row r="15">
      <c r="A15" s="10">
        <v>6.0</v>
      </c>
      <c r="B15" s="8" t="s">
        <v>405</v>
      </c>
      <c r="C15" s="8"/>
      <c r="D15" s="9" t="s">
        <v>406</v>
      </c>
      <c r="E15" s="10" t="s">
        <v>34</v>
      </c>
      <c r="F15" s="11" t="s">
        <v>274</v>
      </c>
      <c r="G15" s="11" t="s">
        <v>192</v>
      </c>
      <c r="H15" s="11"/>
      <c r="I15" s="11" t="s">
        <v>18</v>
      </c>
      <c r="J15" s="12" t="s">
        <v>407</v>
      </c>
      <c r="K15" s="12"/>
    </row>
    <row r="16">
      <c r="A16" s="10"/>
      <c r="B16" s="8"/>
      <c r="C16" s="8"/>
      <c r="D16" s="9"/>
      <c r="E16" s="10"/>
      <c r="F16" s="11"/>
      <c r="G16" s="11"/>
      <c r="H16" s="11"/>
      <c r="I16" s="11" t="s">
        <v>26</v>
      </c>
      <c r="J16" s="12"/>
      <c r="K16" s="12"/>
    </row>
    <row r="17">
      <c r="A17" s="10">
        <v>7.0</v>
      </c>
      <c r="B17" s="8" t="s">
        <v>36</v>
      </c>
      <c r="C17" s="8"/>
      <c r="D17" s="9" t="s">
        <v>37</v>
      </c>
      <c r="E17" s="10" t="s">
        <v>38</v>
      </c>
      <c r="F17" s="11" t="s">
        <v>21</v>
      </c>
      <c r="G17" s="11" t="s">
        <v>30</v>
      </c>
      <c r="H17" s="11"/>
      <c r="I17" s="11" t="s">
        <v>22</v>
      </c>
      <c r="J17" s="12" t="s">
        <v>39</v>
      </c>
      <c r="K17" s="12"/>
    </row>
    <row r="18">
      <c r="A18" s="10"/>
      <c r="B18" s="8"/>
      <c r="C18" s="8"/>
      <c r="D18" s="9"/>
      <c r="E18" s="10"/>
      <c r="F18" s="11"/>
      <c r="G18" s="11"/>
      <c r="H18" s="11"/>
      <c r="I18" s="11" t="s">
        <v>18</v>
      </c>
      <c r="J18" s="12"/>
      <c r="K18" s="12"/>
    </row>
    <row r="19">
      <c r="A19" s="10"/>
      <c r="B19" s="8"/>
      <c r="C19" s="8"/>
      <c r="D19" s="9"/>
      <c r="E19" s="10"/>
      <c r="F19" s="11"/>
      <c r="G19" s="11"/>
      <c r="H19" s="11"/>
      <c r="I19" s="11" t="s">
        <v>26</v>
      </c>
      <c r="J19" s="12"/>
      <c r="K19" s="12"/>
    </row>
    <row r="20">
      <c r="A20" s="10">
        <v>8.0</v>
      </c>
      <c r="B20" s="8" t="s">
        <v>40</v>
      </c>
      <c r="C20" s="8"/>
      <c r="D20" s="9" t="s">
        <v>41</v>
      </c>
      <c r="E20" s="10" t="s">
        <v>38</v>
      </c>
      <c r="F20" s="11" t="s">
        <v>42</v>
      </c>
      <c r="G20" s="11" t="s">
        <v>43</v>
      </c>
      <c r="H20" s="11"/>
      <c r="I20" s="11" t="s">
        <v>18</v>
      </c>
      <c r="J20" s="13"/>
      <c r="K20" s="13"/>
    </row>
    <row r="21">
      <c r="A21" s="10"/>
      <c r="B21" s="8"/>
      <c r="C21" s="8"/>
      <c r="D21" s="9"/>
      <c r="E21" s="10"/>
      <c r="F21" s="11"/>
      <c r="G21" s="11" t="s">
        <v>25</v>
      </c>
      <c r="H21" s="11"/>
      <c r="J21" s="13"/>
      <c r="K21" s="13"/>
    </row>
    <row r="22">
      <c r="A22" s="10"/>
      <c r="B22" s="8"/>
      <c r="C22" s="8"/>
      <c r="D22" s="9"/>
      <c r="E22" s="10"/>
      <c r="F22" s="11"/>
      <c r="G22" s="11" t="s">
        <v>30</v>
      </c>
      <c r="H22" s="11"/>
      <c r="I22" s="11"/>
      <c r="J22" s="13"/>
      <c r="K22" s="13"/>
    </row>
    <row r="23">
      <c r="A23" s="10">
        <v>9.0</v>
      </c>
      <c r="B23" s="8" t="s">
        <v>44</v>
      </c>
      <c r="C23" s="8"/>
      <c r="D23" s="9" t="s">
        <v>28</v>
      </c>
      <c r="E23" s="10" t="s">
        <v>38</v>
      </c>
      <c r="F23" s="11" t="s">
        <v>21</v>
      </c>
      <c r="G23" s="11" t="s">
        <v>30</v>
      </c>
      <c r="H23" s="11"/>
      <c r="I23" s="11" t="s">
        <v>22</v>
      </c>
      <c r="J23" s="12" t="s">
        <v>31</v>
      </c>
      <c r="K23" s="12"/>
    </row>
    <row r="24">
      <c r="A24" s="10"/>
      <c r="B24" s="8"/>
      <c r="C24" s="8"/>
      <c r="D24" s="9"/>
      <c r="E24" s="10"/>
      <c r="F24" s="11"/>
      <c r="G24" s="11"/>
      <c r="H24" s="11"/>
      <c r="I24" s="11" t="s">
        <v>18</v>
      </c>
      <c r="J24" s="12"/>
      <c r="K24" s="12"/>
    </row>
    <row r="25">
      <c r="A25" s="10"/>
      <c r="B25" s="8"/>
      <c r="C25" s="8"/>
      <c r="D25" s="9"/>
      <c r="E25" s="10"/>
      <c r="F25" s="11"/>
      <c r="G25" s="11"/>
      <c r="H25" s="11"/>
      <c r="I25" s="11" t="s">
        <v>26</v>
      </c>
      <c r="J25" s="12"/>
      <c r="K25" s="12"/>
    </row>
    <row r="26">
      <c r="A26" s="10">
        <v>10.0</v>
      </c>
      <c r="B26" s="8" t="s">
        <v>45</v>
      </c>
      <c r="C26" s="8"/>
      <c r="D26" s="9" t="s">
        <v>46</v>
      </c>
      <c r="E26" s="10" t="s">
        <v>47</v>
      </c>
      <c r="F26" s="11" t="s">
        <v>21</v>
      </c>
      <c r="G26" s="11" t="s">
        <v>30</v>
      </c>
      <c r="H26" s="11"/>
      <c r="I26" s="11" t="s">
        <v>22</v>
      </c>
      <c r="J26" s="12" t="s">
        <v>31</v>
      </c>
      <c r="K26" s="12"/>
    </row>
    <row r="27">
      <c r="A27" s="10"/>
      <c r="B27" s="8"/>
      <c r="C27" s="8"/>
      <c r="D27" s="9"/>
      <c r="E27" s="10"/>
      <c r="G27" s="11" t="s">
        <v>24</v>
      </c>
      <c r="H27" s="11"/>
      <c r="I27" s="11" t="s">
        <v>18</v>
      </c>
      <c r="J27" s="13"/>
      <c r="K27" s="13"/>
    </row>
    <row r="28">
      <c r="A28" s="10">
        <v>11.0</v>
      </c>
      <c r="B28" s="8" t="s">
        <v>48</v>
      </c>
      <c r="C28" s="8"/>
      <c r="D28" s="9" t="s">
        <v>28</v>
      </c>
      <c r="E28" s="10" t="s">
        <v>47</v>
      </c>
      <c r="F28" s="11" t="s">
        <v>21</v>
      </c>
      <c r="G28" s="11" t="s">
        <v>30</v>
      </c>
      <c r="H28" s="11"/>
      <c r="I28" s="11" t="s">
        <v>22</v>
      </c>
      <c r="J28" s="12" t="s">
        <v>31</v>
      </c>
      <c r="K28" s="12"/>
    </row>
    <row r="29">
      <c r="A29" s="10"/>
      <c r="B29" s="8"/>
      <c r="C29" s="8"/>
      <c r="D29" s="9"/>
      <c r="E29" s="10"/>
      <c r="F29" s="11"/>
      <c r="G29" s="11"/>
      <c r="H29" s="11"/>
      <c r="I29" s="11" t="s">
        <v>18</v>
      </c>
      <c r="J29" s="12"/>
      <c r="K29" s="12"/>
    </row>
    <row r="30">
      <c r="A30" s="10"/>
      <c r="B30" s="8"/>
      <c r="C30" s="8"/>
      <c r="D30" s="9"/>
      <c r="E30" s="10"/>
      <c r="F30" s="11"/>
      <c r="G30" s="11"/>
      <c r="H30" s="11"/>
      <c r="I30" s="11" t="s">
        <v>26</v>
      </c>
      <c r="J30" s="12"/>
      <c r="K30" s="12"/>
    </row>
    <row r="31">
      <c r="A31" s="10">
        <v>12.0</v>
      </c>
      <c r="B31" s="8" t="s">
        <v>49</v>
      </c>
      <c r="C31" s="8"/>
      <c r="D31" s="9" t="s">
        <v>37</v>
      </c>
      <c r="E31" s="10" t="s">
        <v>47</v>
      </c>
      <c r="F31" s="11" t="s">
        <v>21</v>
      </c>
      <c r="G31" s="11" t="s">
        <v>30</v>
      </c>
      <c r="H31" s="11"/>
      <c r="I31" s="11" t="s">
        <v>22</v>
      </c>
      <c r="J31" s="12" t="s">
        <v>39</v>
      </c>
      <c r="K31" s="12"/>
    </row>
    <row r="32">
      <c r="A32" s="10"/>
      <c r="B32" s="8"/>
      <c r="C32" s="8"/>
      <c r="D32" s="9"/>
      <c r="E32" s="10"/>
      <c r="G32" s="11" t="s">
        <v>43</v>
      </c>
      <c r="H32" s="11"/>
      <c r="I32" s="11" t="s">
        <v>18</v>
      </c>
      <c r="J32" s="13"/>
      <c r="K32" s="13"/>
    </row>
    <row r="33">
      <c r="A33" s="10"/>
      <c r="B33" s="8"/>
      <c r="C33" s="8"/>
      <c r="D33" s="9"/>
      <c r="E33" s="10"/>
      <c r="G33" s="11"/>
      <c r="H33" s="11"/>
      <c r="I33" s="11" t="s">
        <v>26</v>
      </c>
      <c r="J33" s="13"/>
      <c r="K33" s="13"/>
    </row>
    <row r="34">
      <c r="A34" s="10">
        <v>13.0</v>
      </c>
      <c r="B34" s="8" t="s">
        <v>50</v>
      </c>
      <c r="C34" s="8"/>
      <c r="D34" s="9" t="s">
        <v>28</v>
      </c>
      <c r="E34" s="10" t="s">
        <v>47</v>
      </c>
      <c r="F34" s="11" t="s">
        <v>21</v>
      </c>
      <c r="G34" s="11" t="s">
        <v>30</v>
      </c>
      <c r="H34" s="11"/>
      <c r="I34" s="11" t="s">
        <v>22</v>
      </c>
      <c r="J34" s="12" t="s">
        <v>31</v>
      </c>
      <c r="K34" s="12"/>
    </row>
    <row r="35">
      <c r="A35" s="10"/>
      <c r="B35" s="8"/>
      <c r="C35" s="8"/>
      <c r="D35" s="9"/>
      <c r="E35" s="10"/>
      <c r="F35" s="11"/>
      <c r="G35" s="11"/>
      <c r="H35" s="11"/>
      <c r="I35" s="11" t="s">
        <v>18</v>
      </c>
      <c r="J35" s="12"/>
      <c r="K35" s="12"/>
    </row>
    <row r="36">
      <c r="A36" s="10"/>
      <c r="B36" s="8"/>
      <c r="C36" s="8"/>
      <c r="D36" s="9"/>
      <c r="E36" s="10"/>
      <c r="F36" s="11"/>
      <c r="G36" s="11"/>
      <c r="H36" s="11"/>
      <c r="I36" s="11" t="s">
        <v>26</v>
      </c>
      <c r="J36" s="12"/>
      <c r="K36" s="12"/>
    </row>
    <row r="37">
      <c r="A37" s="9">
        <v>14.0</v>
      </c>
      <c r="B37" s="8" t="s">
        <v>51</v>
      </c>
      <c r="C37" s="8"/>
      <c r="D37" s="9" t="s">
        <v>46</v>
      </c>
      <c r="E37" s="10" t="s">
        <v>47</v>
      </c>
      <c r="F37" s="11" t="s">
        <v>21</v>
      </c>
      <c r="G37" s="11" t="s">
        <v>30</v>
      </c>
      <c r="H37" s="11"/>
      <c r="I37" s="11" t="s">
        <v>22</v>
      </c>
      <c r="J37" s="12" t="s">
        <v>52</v>
      </c>
      <c r="K37" s="12"/>
    </row>
    <row r="38">
      <c r="A38" s="9"/>
      <c r="B38" s="8"/>
      <c r="C38" s="8"/>
      <c r="D38" s="9"/>
      <c r="E38" s="10"/>
      <c r="F38" s="11"/>
      <c r="G38" s="11"/>
      <c r="H38" s="11"/>
      <c r="I38" s="11" t="s">
        <v>18</v>
      </c>
      <c r="J38" s="12"/>
      <c r="K38" s="12"/>
    </row>
    <row r="39">
      <c r="A39" s="9"/>
      <c r="B39" s="8"/>
      <c r="C39" s="8"/>
      <c r="D39" s="9"/>
      <c r="E39" s="10"/>
      <c r="F39" s="11"/>
      <c r="G39" s="11"/>
      <c r="H39" s="11"/>
      <c r="I39" s="11" t="s">
        <v>26</v>
      </c>
      <c r="J39" s="12"/>
      <c r="K39" s="12"/>
    </row>
    <row r="40">
      <c r="A40" s="9">
        <v>15.0</v>
      </c>
      <c r="B40" s="8" t="s">
        <v>53</v>
      </c>
      <c r="C40" s="8"/>
      <c r="D40" s="9" t="s">
        <v>54</v>
      </c>
      <c r="E40" s="10" t="s">
        <v>55</v>
      </c>
      <c r="F40" s="11" t="s">
        <v>21</v>
      </c>
      <c r="G40" s="11" t="s">
        <v>25</v>
      </c>
      <c r="H40" s="11"/>
      <c r="I40" s="11" t="s">
        <v>22</v>
      </c>
      <c r="J40" s="12" t="s">
        <v>56</v>
      </c>
      <c r="K40" s="12"/>
    </row>
    <row r="41">
      <c r="A41" s="9"/>
      <c r="B41" s="8"/>
      <c r="C41" s="8"/>
      <c r="D41" s="10" t="s">
        <v>57</v>
      </c>
      <c r="E41" s="10"/>
      <c r="I41" s="11" t="s">
        <v>18</v>
      </c>
      <c r="J41" s="13"/>
      <c r="K41" s="13"/>
    </row>
    <row r="42">
      <c r="A42" s="9"/>
      <c r="B42" s="8"/>
      <c r="C42" s="8"/>
      <c r="D42" s="10"/>
      <c r="E42" s="10"/>
      <c r="I42" s="11" t="s">
        <v>26</v>
      </c>
      <c r="J42" s="13"/>
      <c r="K42" s="13"/>
    </row>
    <row r="43">
      <c r="A43" s="9">
        <v>16.0</v>
      </c>
      <c r="B43" s="8" t="s">
        <v>58</v>
      </c>
      <c r="C43" s="8"/>
      <c r="D43" s="9" t="s">
        <v>28</v>
      </c>
      <c r="E43" s="10" t="s">
        <v>55</v>
      </c>
      <c r="F43" s="11" t="s">
        <v>21</v>
      </c>
      <c r="G43" s="11" t="s">
        <v>30</v>
      </c>
      <c r="H43" s="11"/>
      <c r="I43" s="11" t="s">
        <v>22</v>
      </c>
      <c r="J43" s="12" t="s">
        <v>59</v>
      </c>
      <c r="K43" s="12"/>
    </row>
    <row r="44">
      <c r="A44" s="9"/>
      <c r="B44" s="8"/>
      <c r="C44" s="8"/>
      <c r="D44" s="9"/>
      <c r="E44" s="10"/>
      <c r="F44" s="11"/>
      <c r="G44" s="11"/>
      <c r="H44" s="11"/>
      <c r="I44" s="11" t="s">
        <v>18</v>
      </c>
      <c r="J44" s="12"/>
      <c r="K44" s="12"/>
    </row>
    <row r="45">
      <c r="A45" s="9"/>
      <c r="B45" s="8"/>
      <c r="C45" s="8"/>
      <c r="D45" s="9"/>
      <c r="E45" s="10"/>
      <c r="F45" s="11"/>
      <c r="G45" s="11"/>
      <c r="H45" s="11"/>
      <c r="I45" s="11" t="s">
        <v>26</v>
      </c>
      <c r="J45" s="12"/>
      <c r="K45" s="12"/>
    </row>
    <row r="46">
      <c r="A46" s="9">
        <v>17.0</v>
      </c>
      <c r="B46" s="8" t="s">
        <v>60</v>
      </c>
      <c r="C46" s="8"/>
      <c r="D46" s="9" t="s">
        <v>28</v>
      </c>
      <c r="E46" s="10" t="s">
        <v>61</v>
      </c>
      <c r="F46" s="11" t="s">
        <v>21</v>
      </c>
      <c r="G46" s="11" t="s">
        <v>30</v>
      </c>
      <c r="H46" s="11"/>
      <c r="I46" s="11" t="s">
        <v>22</v>
      </c>
      <c r="J46" s="12" t="s">
        <v>59</v>
      </c>
      <c r="K46" s="12"/>
    </row>
    <row r="47">
      <c r="A47" s="9"/>
      <c r="B47" s="8"/>
      <c r="C47" s="8"/>
      <c r="D47" s="9"/>
      <c r="E47" s="10"/>
      <c r="G47" s="11" t="s">
        <v>43</v>
      </c>
      <c r="H47" s="11"/>
      <c r="I47" s="11" t="s">
        <v>18</v>
      </c>
      <c r="J47" s="13"/>
      <c r="K47" s="13"/>
    </row>
    <row r="48">
      <c r="A48" s="9"/>
      <c r="B48" s="8"/>
      <c r="C48" s="8"/>
      <c r="D48" s="9"/>
      <c r="E48" s="10"/>
      <c r="G48" s="11"/>
      <c r="H48" s="11"/>
      <c r="I48" s="11" t="s">
        <v>26</v>
      </c>
      <c r="J48" s="13"/>
      <c r="K48" s="13"/>
    </row>
    <row r="49">
      <c r="A49" s="9">
        <v>18.0</v>
      </c>
      <c r="B49" s="8" t="s">
        <v>408</v>
      </c>
      <c r="C49" s="8"/>
      <c r="D49" s="9" t="s">
        <v>409</v>
      </c>
      <c r="E49" s="10" t="s">
        <v>61</v>
      </c>
      <c r="F49" s="11" t="s">
        <v>292</v>
      </c>
      <c r="G49" s="11" t="s">
        <v>43</v>
      </c>
      <c r="H49" s="11"/>
      <c r="I49" s="11" t="s">
        <v>18</v>
      </c>
      <c r="J49" s="12" t="s">
        <v>410</v>
      </c>
      <c r="K49" s="12"/>
    </row>
    <row r="50">
      <c r="A50" s="9"/>
      <c r="B50" s="8"/>
      <c r="C50" s="8"/>
      <c r="D50" s="9"/>
      <c r="E50" s="10"/>
      <c r="F50" s="11"/>
      <c r="G50" s="11" t="s">
        <v>30</v>
      </c>
      <c r="H50" s="11"/>
      <c r="I50" s="11" t="s">
        <v>26</v>
      </c>
      <c r="J50" s="12"/>
      <c r="K50" s="12"/>
    </row>
    <row r="51">
      <c r="A51" s="9">
        <v>19.0</v>
      </c>
      <c r="B51" s="8" t="s">
        <v>411</v>
      </c>
      <c r="C51" s="8"/>
      <c r="D51" s="9" t="s">
        <v>412</v>
      </c>
      <c r="E51" s="10" t="s">
        <v>61</v>
      </c>
      <c r="F51" s="11" t="s">
        <v>21</v>
      </c>
      <c r="G51" s="11" t="s">
        <v>30</v>
      </c>
      <c r="H51" s="11"/>
      <c r="I51" s="11" t="s">
        <v>22</v>
      </c>
      <c r="J51" s="12" t="s">
        <v>413</v>
      </c>
      <c r="K51" s="12"/>
    </row>
    <row r="52">
      <c r="A52" s="9"/>
      <c r="B52" s="8"/>
      <c r="C52" s="8"/>
      <c r="D52" s="9"/>
      <c r="E52" s="10"/>
      <c r="F52" s="11"/>
      <c r="G52" s="11"/>
      <c r="H52" s="11"/>
      <c r="I52" s="11" t="s">
        <v>18</v>
      </c>
      <c r="J52" s="12"/>
      <c r="K52" s="12"/>
    </row>
    <row r="53">
      <c r="A53" s="9"/>
      <c r="B53" s="8"/>
      <c r="C53" s="8"/>
      <c r="D53" s="9"/>
      <c r="E53" s="10"/>
      <c r="F53" s="11"/>
      <c r="G53" s="11"/>
      <c r="H53" s="11"/>
      <c r="I53" s="11" t="s">
        <v>26</v>
      </c>
      <c r="J53" s="12"/>
      <c r="K53" s="12"/>
    </row>
    <row r="54">
      <c r="A54" s="9">
        <v>20.0</v>
      </c>
      <c r="B54" s="8" t="s">
        <v>62</v>
      </c>
      <c r="C54" s="8"/>
      <c r="D54" s="9" t="s">
        <v>63</v>
      </c>
      <c r="E54" s="10" t="s">
        <v>61</v>
      </c>
      <c r="F54" s="11" t="s">
        <v>21</v>
      </c>
      <c r="G54" s="11" t="s">
        <v>30</v>
      </c>
      <c r="H54" s="11"/>
      <c r="I54" s="11" t="s">
        <v>22</v>
      </c>
      <c r="J54" s="12" t="s">
        <v>64</v>
      </c>
      <c r="K54" s="12"/>
    </row>
    <row r="55">
      <c r="A55" s="9"/>
      <c r="B55" s="8"/>
      <c r="C55" s="8"/>
      <c r="D55" s="9"/>
      <c r="E55" s="10"/>
      <c r="G55" s="11" t="s">
        <v>65</v>
      </c>
      <c r="H55" s="11"/>
      <c r="I55" s="11" t="s">
        <v>18</v>
      </c>
      <c r="J55" s="13"/>
      <c r="K55" s="13"/>
    </row>
    <row r="56">
      <c r="A56" s="9"/>
      <c r="B56" s="8"/>
      <c r="C56" s="8"/>
      <c r="D56" s="9"/>
      <c r="E56" s="10"/>
      <c r="G56" s="11"/>
      <c r="H56" s="11"/>
      <c r="I56" s="11" t="s">
        <v>26</v>
      </c>
      <c r="J56" s="13"/>
      <c r="K56" s="13"/>
    </row>
    <row r="57">
      <c r="A57" s="9">
        <v>21.0</v>
      </c>
      <c r="B57" s="8" t="s">
        <v>66</v>
      </c>
      <c r="C57" s="8"/>
      <c r="D57" s="9" t="s">
        <v>63</v>
      </c>
      <c r="E57" s="10" t="s">
        <v>61</v>
      </c>
      <c r="F57" s="11" t="s">
        <v>21</v>
      </c>
      <c r="G57" s="11" t="s">
        <v>30</v>
      </c>
      <c r="H57" s="11"/>
      <c r="I57" s="11" t="s">
        <v>22</v>
      </c>
      <c r="J57" s="12" t="s">
        <v>67</v>
      </c>
      <c r="K57" s="12"/>
    </row>
    <row r="58">
      <c r="A58" s="9"/>
      <c r="B58" s="8"/>
      <c r="C58" s="8"/>
      <c r="D58" s="9"/>
      <c r="E58" s="10"/>
      <c r="G58" s="11" t="s">
        <v>43</v>
      </c>
      <c r="H58" s="11"/>
      <c r="I58" s="11" t="s">
        <v>18</v>
      </c>
      <c r="J58" s="13"/>
      <c r="K58" s="13"/>
    </row>
    <row r="59">
      <c r="A59" s="9"/>
      <c r="B59" s="8"/>
      <c r="C59" s="8"/>
      <c r="D59" s="9"/>
      <c r="E59" s="10"/>
      <c r="G59" s="11"/>
      <c r="H59" s="11"/>
      <c r="I59" s="11" t="s">
        <v>26</v>
      </c>
      <c r="J59" s="13"/>
      <c r="K59" s="13"/>
    </row>
    <row r="60">
      <c r="A60" s="9">
        <v>22.0</v>
      </c>
      <c r="B60" s="8" t="s">
        <v>68</v>
      </c>
      <c r="C60" s="8"/>
      <c r="D60" s="9" t="s">
        <v>28</v>
      </c>
      <c r="E60" s="10" t="s">
        <v>61</v>
      </c>
      <c r="F60" s="11" t="s">
        <v>21</v>
      </c>
      <c r="G60" s="11" t="s">
        <v>30</v>
      </c>
      <c r="H60" s="11"/>
      <c r="I60" s="11" t="s">
        <v>22</v>
      </c>
      <c r="J60" s="12" t="s">
        <v>59</v>
      </c>
      <c r="K60" s="12"/>
    </row>
    <row r="61">
      <c r="A61" s="9"/>
      <c r="B61" s="8"/>
      <c r="C61" s="8"/>
      <c r="D61" s="9"/>
      <c r="E61" s="10"/>
      <c r="F61" s="11"/>
      <c r="G61" s="11"/>
      <c r="H61" s="11"/>
      <c r="I61" s="11" t="s">
        <v>18</v>
      </c>
      <c r="J61" s="12"/>
      <c r="K61" s="12"/>
    </row>
    <row r="62">
      <c r="A62" s="9"/>
      <c r="B62" s="8"/>
      <c r="C62" s="8"/>
      <c r="D62" s="9"/>
      <c r="E62" s="10"/>
      <c r="F62" s="11"/>
      <c r="G62" s="11"/>
      <c r="H62" s="11"/>
      <c r="I62" s="11" t="s">
        <v>26</v>
      </c>
      <c r="J62" s="12"/>
      <c r="K62" s="12"/>
    </row>
    <row r="63">
      <c r="A63" s="9">
        <v>23.0</v>
      </c>
      <c r="B63" s="8" t="s">
        <v>69</v>
      </c>
      <c r="C63" s="8"/>
      <c r="D63" s="9" t="s">
        <v>28</v>
      </c>
      <c r="E63" s="10" t="s">
        <v>61</v>
      </c>
      <c r="F63" s="11" t="s">
        <v>21</v>
      </c>
      <c r="G63" s="11" t="s">
        <v>30</v>
      </c>
      <c r="H63" s="11"/>
      <c r="I63" s="11" t="s">
        <v>22</v>
      </c>
      <c r="J63" s="12" t="s">
        <v>59</v>
      </c>
      <c r="K63" s="12"/>
    </row>
    <row r="64">
      <c r="A64" s="9"/>
      <c r="B64" s="8"/>
      <c r="C64" s="8"/>
      <c r="D64" s="9"/>
      <c r="E64" s="10"/>
      <c r="F64" s="11"/>
      <c r="G64" s="11"/>
      <c r="H64" s="11"/>
      <c r="I64" s="11" t="s">
        <v>18</v>
      </c>
      <c r="J64" s="12"/>
      <c r="K64" s="12"/>
    </row>
    <row r="65">
      <c r="A65" s="9"/>
      <c r="B65" s="8"/>
      <c r="C65" s="8"/>
      <c r="D65" s="9"/>
      <c r="E65" s="10"/>
      <c r="F65" s="11"/>
      <c r="G65" s="11"/>
      <c r="H65" s="11"/>
      <c r="I65" s="11" t="s">
        <v>26</v>
      </c>
      <c r="J65" s="12"/>
      <c r="K65" s="12"/>
    </row>
    <row r="66">
      <c r="A66" s="9">
        <v>24.0</v>
      </c>
      <c r="B66" s="8" t="s">
        <v>70</v>
      </c>
      <c r="C66" s="8"/>
      <c r="D66" s="9" t="s">
        <v>28</v>
      </c>
      <c r="E66" s="10" t="s">
        <v>61</v>
      </c>
      <c r="F66" s="11" t="s">
        <v>21</v>
      </c>
      <c r="G66" s="11" t="s">
        <v>30</v>
      </c>
      <c r="H66" s="11"/>
      <c r="I66" s="11" t="s">
        <v>22</v>
      </c>
      <c r="J66" s="12" t="s">
        <v>59</v>
      </c>
      <c r="K66" s="12"/>
    </row>
    <row r="67">
      <c r="A67" s="9"/>
      <c r="B67" s="8"/>
      <c r="C67" s="8"/>
      <c r="D67" s="9"/>
      <c r="E67" s="10"/>
      <c r="F67" s="11"/>
      <c r="G67" s="11"/>
      <c r="H67" s="11"/>
      <c r="I67" s="11" t="s">
        <v>18</v>
      </c>
      <c r="J67" s="12" t="s">
        <v>71</v>
      </c>
      <c r="K67" s="12"/>
    </row>
    <row r="68">
      <c r="A68" s="9"/>
      <c r="B68" s="8"/>
      <c r="C68" s="8"/>
      <c r="D68" s="9"/>
      <c r="E68" s="10"/>
      <c r="F68" s="11"/>
      <c r="G68" s="11"/>
      <c r="H68" s="11"/>
      <c r="I68" s="11" t="s">
        <v>26</v>
      </c>
      <c r="J68" s="12"/>
      <c r="K68" s="12"/>
    </row>
    <row r="69">
      <c r="A69" s="9">
        <v>25.0</v>
      </c>
      <c r="B69" s="8" t="s">
        <v>72</v>
      </c>
      <c r="C69" s="8"/>
      <c r="D69" s="9" t="s">
        <v>73</v>
      </c>
      <c r="E69" s="10" t="s">
        <v>74</v>
      </c>
      <c r="F69" s="11" t="s">
        <v>14</v>
      </c>
      <c r="G69" s="11" t="s">
        <v>15</v>
      </c>
      <c r="H69" s="11"/>
      <c r="I69" s="11" t="s">
        <v>18</v>
      </c>
      <c r="J69" s="12" t="s">
        <v>75</v>
      </c>
      <c r="K69" s="12"/>
    </row>
    <row r="70">
      <c r="A70" s="9"/>
      <c r="B70" s="8"/>
      <c r="C70" s="8"/>
      <c r="D70" s="9"/>
      <c r="E70" s="10"/>
      <c r="G70" s="11" t="s">
        <v>30</v>
      </c>
      <c r="H70" s="11"/>
      <c r="I70" s="11" t="s">
        <v>26</v>
      </c>
      <c r="J70" s="13"/>
      <c r="K70" s="13"/>
    </row>
    <row r="71">
      <c r="A71" s="9">
        <v>26.0</v>
      </c>
      <c r="B71" s="8" t="s">
        <v>76</v>
      </c>
      <c r="C71" s="8"/>
      <c r="D71" s="9" t="s">
        <v>77</v>
      </c>
      <c r="E71" s="10" t="s">
        <v>78</v>
      </c>
      <c r="F71" s="11" t="s">
        <v>21</v>
      </c>
      <c r="G71" s="11" t="s">
        <v>79</v>
      </c>
      <c r="H71" s="11"/>
      <c r="I71" s="11" t="s">
        <v>22</v>
      </c>
      <c r="J71" s="12" t="s">
        <v>80</v>
      </c>
      <c r="K71" s="12"/>
    </row>
    <row r="72">
      <c r="A72" s="9"/>
      <c r="B72" s="8"/>
      <c r="C72" s="8"/>
      <c r="D72" s="10" t="s">
        <v>81</v>
      </c>
      <c r="E72" s="10"/>
      <c r="G72" s="11" t="s">
        <v>30</v>
      </c>
      <c r="H72" s="11"/>
      <c r="I72" s="11" t="s">
        <v>18</v>
      </c>
      <c r="J72" s="13"/>
      <c r="K72" s="13"/>
    </row>
    <row r="73">
      <c r="A73" s="9"/>
      <c r="B73" s="8"/>
      <c r="C73" s="8"/>
      <c r="D73" s="9"/>
      <c r="E73" s="10"/>
      <c r="G73" s="11" t="s">
        <v>82</v>
      </c>
      <c r="H73" s="11"/>
      <c r="I73" s="11" t="s">
        <v>26</v>
      </c>
      <c r="J73" s="13"/>
      <c r="K73" s="13"/>
    </row>
    <row r="74">
      <c r="A74" s="9"/>
      <c r="B74" s="8"/>
      <c r="C74" s="8"/>
      <c r="D74" s="9"/>
      <c r="E74" s="10"/>
      <c r="G74" s="11" t="s">
        <v>83</v>
      </c>
      <c r="H74" s="11"/>
      <c r="J74" s="13"/>
      <c r="K74" s="13"/>
    </row>
    <row r="75">
      <c r="A75" s="9">
        <v>27.0</v>
      </c>
      <c r="B75" s="8" t="s">
        <v>84</v>
      </c>
      <c r="C75" s="8"/>
      <c r="D75" s="9" t="s">
        <v>63</v>
      </c>
      <c r="E75" s="10" t="s">
        <v>78</v>
      </c>
      <c r="F75" s="11" t="s">
        <v>21</v>
      </c>
      <c r="G75" s="11" t="s">
        <v>30</v>
      </c>
      <c r="H75" s="11"/>
      <c r="I75" s="11" t="s">
        <v>22</v>
      </c>
      <c r="J75" s="12" t="s">
        <v>85</v>
      </c>
      <c r="K75" s="12"/>
    </row>
    <row r="76">
      <c r="A76" s="9"/>
      <c r="B76" s="8"/>
      <c r="C76" s="8"/>
      <c r="D76" s="10" t="s">
        <v>86</v>
      </c>
      <c r="E76" s="10"/>
      <c r="G76" s="11" t="s">
        <v>43</v>
      </c>
      <c r="H76" s="11"/>
      <c r="I76" s="11" t="s">
        <v>18</v>
      </c>
      <c r="J76" s="13"/>
      <c r="K76" s="13"/>
    </row>
    <row r="77">
      <c r="A77" s="9"/>
      <c r="B77" s="8"/>
      <c r="C77" s="8"/>
      <c r="D77" s="10"/>
      <c r="E77" s="10"/>
      <c r="G77" s="11"/>
      <c r="H77" s="11"/>
      <c r="I77" s="11" t="s">
        <v>26</v>
      </c>
      <c r="J77" s="13"/>
      <c r="K77" s="13"/>
    </row>
    <row r="78">
      <c r="A78" s="9">
        <v>28.0</v>
      </c>
      <c r="B78" s="8" t="s">
        <v>414</v>
      </c>
      <c r="C78" s="8" t="s">
        <v>415</v>
      </c>
      <c r="D78" s="9" t="s">
        <v>416</v>
      </c>
      <c r="E78" s="10" t="s">
        <v>417</v>
      </c>
      <c r="F78" s="11" t="s">
        <v>318</v>
      </c>
      <c r="G78" s="11" t="s">
        <v>30</v>
      </c>
      <c r="H78" s="11"/>
      <c r="I78" s="11" t="s">
        <v>18</v>
      </c>
      <c r="J78" s="13"/>
      <c r="K78" s="13"/>
    </row>
    <row r="79">
      <c r="A79" s="9">
        <v>29.0</v>
      </c>
      <c r="B79" s="8" t="s">
        <v>87</v>
      </c>
      <c r="C79" s="8"/>
      <c r="D79" s="9" t="s">
        <v>88</v>
      </c>
      <c r="E79" s="10" t="s">
        <v>89</v>
      </c>
      <c r="F79" s="11" t="s">
        <v>90</v>
      </c>
      <c r="G79" s="11" t="s">
        <v>91</v>
      </c>
      <c r="H79" s="11"/>
      <c r="I79" s="11" t="s">
        <v>18</v>
      </c>
      <c r="J79" s="12" t="s">
        <v>92</v>
      </c>
      <c r="K79" s="12"/>
    </row>
    <row r="80">
      <c r="A80" s="9"/>
      <c r="B80" s="8"/>
      <c r="C80" s="8"/>
      <c r="D80" s="10" t="s">
        <v>93</v>
      </c>
      <c r="E80" s="10"/>
      <c r="G80" s="11" t="s">
        <v>94</v>
      </c>
      <c r="H80" s="11"/>
      <c r="I80" s="11" t="s">
        <v>26</v>
      </c>
      <c r="J80" s="13"/>
      <c r="K80" s="13"/>
    </row>
    <row r="81">
      <c r="A81" s="9"/>
      <c r="B81" s="8"/>
      <c r="C81" s="8"/>
      <c r="D81" s="9"/>
      <c r="E81" s="10"/>
      <c r="G81" s="11" t="s">
        <v>17</v>
      </c>
      <c r="H81" s="11"/>
      <c r="J81" s="13"/>
      <c r="K81" s="13"/>
    </row>
    <row r="82">
      <c r="A82" s="9"/>
      <c r="B82" s="8"/>
      <c r="C82" s="8"/>
      <c r="D82" s="9"/>
      <c r="E82" s="10"/>
      <c r="G82" s="11" t="s">
        <v>95</v>
      </c>
      <c r="H82" s="11"/>
      <c r="J82" s="13"/>
      <c r="K82" s="13"/>
    </row>
    <row r="83">
      <c r="A83" s="9">
        <v>30.0</v>
      </c>
      <c r="B83" s="8" t="s">
        <v>96</v>
      </c>
      <c r="C83" s="8"/>
      <c r="D83" s="9" t="s">
        <v>97</v>
      </c>
      <c r="E83" s="10" t="s">
        <v>89</v>
      </c>
      <c r="F83" s="11" t="s">
        <v>98</v>
      </c>
      <c r="G83" s="11" t="s">
        <v>17</v>
      </c>
      <c r="H83" s="11"/>
      <c r="I83" s="11" t="s">
        <v>18</v>
      </c>
      <c r="J83" s="12" t="s">
        <v>99</v>
      </c>
      <c r="K83" s="12"/>
    </row>
    <row r="84">
      <c r="A84" s="9">
        <v>31.0</v>
      </c>
      <c r="B84" s="8" t="s">
        <v>100</v>
      </c>
      <c r="C84" s="8"/>
      <c r="D84" s="9" t="s">
        <v>28</v>
      </c>
      <c r="E84" s="10" t="s">
        <v>89</v>
      </c>
      <c r="F84" s="11" t="s">
        <v>21</v>
      </c>
      <c r="G84" s="11" t="s">
        <v>30</v>
      </c>
      <c r="H84" s="11"/>
      <c r="I84" s="11" t="s">
        <v>22</v>
      </c>
      <c r="J84" s="12" t="s">
        <v>101</v>
      </c>
      <c r="K84" s="12"/>
    </row>
    <row r="85">
      <c r="A85" s="9"/>
      <c r="B85" s="8"/>
      <c r="C85" s="8"/>
      <c r="D85" s="9"/>
      <c r="E85" s="10"/>
      <c r="F85" s="11"/>
      <c r="G85" s="11"/>
      <c r="H85" s="11"/>
      <c r="I85" s="11" t="s">
        <v>18</v>
      </c>
      <c r="J85" s="12"/>
      <c r="K85" s="12"/>
    </row>
    <row r="86">
      <c r="A86" s="9"/>
      <c r="B86" s="8"/>
      <c r="C86" s="8"/>
      <c r="D86" s="9"/>
      <c r="E86" s="10"/>
      <c r="F86" s="11"/>
      <c r="G86" s="11"/>
      <c r="H86" s="11"/>
      <c r="I86" s="11" t="s">
        <v>26</v>
      </c>
      <c r="J86" s="12"/>
      <c r="K86" s="12"/>
    </row>
    <row r="87">
      <c r="A87" s="9">
        <v>32.0</v>
      </c>
      <c r="B87" s="8" t="s">
        <v>102</v>
      </c>
      <c r="C87" s="8"/>
      <c r="D87" s="9" t="s">
        <v>28</v>
      </c>
      <c r="E87" s="10" t="s">
        <v>103</v>
      </c>
      <c r="F87" s="11" t="s">
        <v>21</v>
      </c>
      <c r="G87" s="11" t="s">
        <v>30</v>
      </c>
      <c r="H87" s="11"/>
      <c r="I87" s="11" t="s">
        <v>22</v>
      </c>
      <c r="J87" s="12" t="s">
        <v>104</v>
      </c>
      <c r="K87" s="12"/>
    </row>
    <row r="88">
      <c r="A88" s="9"/>
      <c r="B88" s="8"/>
      <c r="C88" s="8"/>
      <c r="D88" s="9"/>
      <c r="E88" s="10"/>
      <c r="F88" s="11"/>
      <c r="G88" s="11"/>
      <c r="H88" s="11"/>
      <c r="I88" s="11" t="s">
        <v>18</v>
      </c>
      <c r="J88" s="12"/>
      <c r="K88" s="12"/>
    </row>
    <row r="89">
      <c r="A89" s="9"/>
      <c r="B89" s="8"/>
      <c r="C89" s="8"/>
      <c r="D89" s="9"/>
      <c r="E89" s="10"/>
      <c r="F89" s="11"/>
      <c r="G89" s="11"/>
      <c r="H89" s="11"/>
      <c r="I89" s="11" t="s">
        <v>26</v>
      </c>
      <c r="J89" s="12"/>
      <c r="K89" s="12"/>
    </row>
    <row r="90">
      <c r="A90" s="9">
        <v>33.0</v>
      </c>
      <c r="B90" s="8" t="s">
        <v>105</v>
      </c>
      <c r="C90" s="8"/>
      <c r="D90" s="9" t="s">
        <v>106</v>
      </c>
      <c r="E90" s="10" t="s">
        <v>103</v>
      </c>
      <c r="F90" s="11" t="s">
        <v>107</v>
      </c>
      <c r="G90" s="11" t="s">
        <v>108</v>
      </c>
      <c r="H90" s="11"/>
      <c r="I90" s="11" t="s">
        <v>18</v>
      </c>
      <c r="J90" s="12" t="s">
        <v>109</v>
      </c>
      <c r="K90" s="12"/>
    </row>
    <row r="91">
      <c r="A91" s="9"/>
      <c r="B91" s="8"/>
      <c r="C91" s="8"/>
      <c r="D91" s="9"/>
      <c r="E91" s="10"/>
      <c r="G91" s="11" t="s">
        <v>83</v>
      </c>
      <c r="H91" s="11"/>
      <c r="I91" s="11" t="s">
        <v>26</v>
      </c>
      <c r="J91" s="13"/>
      <c r="K91" s="13"/>
    </row>
    <row r="92">
      <c r="A92" s="9">
        <v>34.0</v>
      </c>
      <c r="B92" s="8" t="s">
        <v>110</v>
      </c>
      <c r="C92" s="8"/>
      <c r="D92" s="9" t="s">
        <v>111</v>
      </c>
      <c r="E92" s="10" t="s">
        <v>103</v>
      </c>
      <c r="F92" s="11" t="s">
        <v>21</v>
      </c>
      <c r="G92" s="11" t="s">
        <v>25</v>
      </c>
      <c r="H92" s="11"/>
      <c r="I92" s="11" t="s">
        <v>22</v>
      </c>
      <c r="J92" s="12" t="s">
        <v>112</v>
      </c>
      <c r="K92" s="12"/>
    </row>
    <row r="93">
      <c r="A93" s="9"/>
      <c r="B93" s="8"/>
      <c r="C93" s="8"/>
      <c r="D93" s="9"/>
      <c r="E93" s="10"/>
      <c r="G93" s="11" t="s">
        <v>30</v>
      </c>
      <c r="H93" s="11"/>
      <c r="I93" s="11" t="s">
        <v>18</v>
      </c>
      <c r="J93" s="13"/>
      <c r="K93" s="13"/>
    </row>
    <row r="94">
      <c r="A94" s="9"/>
      <c r="B94" s="8"/>
      <c r="C94" s="8"/>
      <c r="D94" s="9"/>
      <c r="E94" s="10"/>
      <c r="G94" s="11" t="s">
        <v>43</v>
      </c>
      <c r="H94" s="11"/>
      <c r="I94" s="11" t="s">
        <v>26</v>
      </c>
      <c r="J94" s="13"/>
      <c r="K94" s="13"/>
    </row>
    <row r="95">
      <c r="A95" s="9">
        <v>35.0</v>
      </c>
      <c r="B95" s="8" t="s">
        <v>113</v>
      </c>
      <c r="C95" s="8"/>
      <c r="D95" s="9" t="s">
        <v>111</v>
      </c>
      <c r="E95" s="10" t="s">
        <v>103</v>
      </c>
      <c r="F95" s="11" t="s">
        <v>21</v>
      </c>
      <c r="G95" s="11" t="s">
        <v>25</v>
      </c>
      <c r="H95" s="11"/>
      <c r="I95" s="11" t="s">
        <v>22</v>
      </c>
      <c r="J95" s="12" t="s">
        <v>112</v>
      </c>
      <c r="K95" s="12"/>
    </row>
    <row r="96">
      <c r="A96" s="9"/>
      <c r="B96" s="8"/>
      <c r="C96" s="8"/>
      <c r="D96" s="9"/>
      <c r="E96" s="10"/>
      <c r="G96" s="11" t="s">
        <v>43</v>
      </c>
      <c r="H96" s="11"/>
      <c r="I96" s="11" t="s">
        <v>18</v>
      </c>
      <c r="J96" s="13"/>
      <c r="K96" s="13"/>
    </row>
    <row r="97">
      <c r="A97" s="9"/>
      <c r="B97" s="8"/>
      <c r="C97" s="8"/>
      <c r="D97" s="9"/>
      <c r="E97" s="10"/>
      <c r="G97" s="11"/>
      <c r="H97" s="11"/>
      <c r="I97" s="11" t="s">
        <v>26</v>
      </c>
      <c r="J97" s="13"/>
      <c r="K97" s="13"/>
    </row>
    <row r="98">
      <c r="A98" s="9">
        <v>36.0</v>
      </c>
      <c r="B98" s="8" t="s">
        <v>418</v>
      </c>
      <c r="C98" s="8"/>
      <c r="D98" s="9" t="s">
        <v>97</v>
      </c>
      <c r="E98" s="10" t="s">
        <v>103</v>
      </c>
      <c r="F98" s="11" t="s">
        <v>98</v>
      </c>
      <c r="I98" s="11" t="s">
        <v>18</v>
      </c>
      <c r="J98" s="13"/>
      <c r="K98" s="13"/>
    </row>
    <row r="99">
      <c r="A99" s="9">
        <v>38.0</v>
      </c>
      <c r="B99" s="8" t="s">
        <v>114</v>
      </c>
      <c r="C99" s="8"/>
      <c r="D99" s="9" t="s">
        <v>28</v>
      </c>
      <c r="E99" s="10" t="s">
        <v>103</v>
      </c>
      <c r="F99" s="11" t="s">
        <v>21</v>
      </c>
      <c r="G99" s="11" t="s">
        <v>30</v>
      </c>
      <c r="H99" s="11"/>
      <c r="I99" s="11" t="s">
        <v>22</v>
      </c>
      <c r="J99" s="12" t="s">
        <v>101</v>
      </c>
      <c r="K99" s="12"/>
    </row>
    <row r="100">
      <c r="A100" s="9"/>
      <c r="B100" s="8"/>
      <c r="C100" s="8"/>
      <c r="D100" s="9"/>
      <c r="E100" s="10"/>
      <c r="F100" s="11"/>
      <c r="G100" s="11" t="s">
        <v>43</v>
      </c>
      <c r="H100" s="11"/>
      <c r="I100" s="11" t="s">
        <v>18</v>
      </c>
      <c r="J100" s="13"/>
      <c r="K100" s="13"/>
    </row>
    <row r="101">
      <c r="A101" s="9"/>
      <c r="B101" s="8"/>
      <c r="C101" s="8"/>
      <c r="D101" s="9"/>
      <c r="E101" s="10"/>
      <c r="F101" s="11"/>
      <c r="G101" s="11"/>
      <c r="H101" s="11"/>
      <c r="I101" s="11" t="s">
        <v>26</v>
      </c>
      <c r="J101" s="13"/>
      <c r="K101" s="13"/>
    </row>
    <row r="102">
      <c r="A102" s="9">
        <v>39.0</v>
      </c>
      <c r="B102" s="8" t="s">
        <v>115</v>
      </c>
      <c r="C102" s="8"/>
      <c r="D102" s="9" t="s">
        <v>111</v>
      </c>
      <c r="E102" s="10" t="s">
        <v>103</v>
      </c>
      <c r="F102" s="11" t="s">
        <v>21</v>
      </c>
      <c r="G102" s="11" t="s">
        <v>25</v>
      </c>
      <c r="H102" s="11"/>
      <c r="I102" s="11" t="s">
        <v>22</v>
      </c>
      <c r="J102" s="12" t="s">
        <v>112</v>
      </c>
      <c r="K102" s="12"/>
    </row>
    <row r="103">
      <c r="A103" s="9"/>
      <c r="B103" s="8"/>
      <c r="C103" s="8"/>
      <c r="D103" s="9"/>
      <c r="E103" s="10"/>
      <c r="G103" s="11" t="s">
        <v>30</v>
      </c>
      <c r="H103" s="11"/>
      <c r="I103" s="11" t="s">
        <v>18</v>
      </c>
      <c r="J103" s="13"/>
      <c r="K103" s="13"/>
    </row>
    <row r="104">
      <c r="A104" s="9"/>
      <c r="B104" s="8"/>
      <c r="C104" s="8"/>
      <c r="D104" s="9"/>
      <c r="E104" s="10"/>
      <c r="G104" s="11"/>
      <c r="H104" s="11"/>
      <c r="I104" s="11" t="s">
        <v>26</v>
      </c>
      <c r="J104" s="13"/>
      <c r="K104" s="13"/>
    </row>
    <row r="105">
      <c r="A105" s="9">
        <v>40.0</v>
      </c>
      <c r="B105" s="8" t="s">
        <v>116</v>
      </c>
      <c r="C105" s="8"/>
      <c r="D105" s="9" t="s">
        <v>41</v>
      </c>
      <c r="E105" s="10" t="s">
        <v>103</v>
      </c>
      <c r="F105" s="11" t="s">
        <v>107</v>
      </c>
      <c r="G105" s="11" t="s">
        <v>30</v>
      </c>
      <c r="H105" s="11"/>
      <c r="I105" s="11" t="s">
        <v>18</v>
      </c>
      <c r="J105" s="12" t="s">
        <v>109</v>
      </c>
      <c r="K105" s="12"/>
    </row>
    <row r="106">
      <c r="A106" s="9"/>
      <c r="B106" s="8"/>
      <c r="C106" s="8"/>
      <c r="D106" s="9"/>
      <c r="E106" s="10"/>
      <c r="F106" s="11"/>
      <c r="G106" s="11"/>
      <c r="H106" s="11"/>
      <c r="I106" s="11" t="s">
        <v>26</v>
      </c>
      <c r="J106" s="12"/>
      <c r="K106" s="12"/>
    </row>
    <row r="107">
      <c r="A107" s="9">
        <v>41.0</v>
      </c>
      <c r="B107" s="8" t="s">
        <v>117</v>
      </c>
      <c r="C107" s="8"/>
      <c r="D107" s="9" t="s">
        <v>97</v>
      </c>
      <c r="E107" s="10" t="s">
        <v>118</v>
      </c>
      <c r="F107" s="11" t="s">
        <v>98</v>
      </c>
      <c r="J107" s="12" t="s">
        <v>119</v>
      </c>
      <c r="K107" s="12"/>
    </row>
    <row r="108">
      <c r="A108" s="9">
        <v>42.0</v>
      </c>
      <c r="B108" s="8" t="s">
        <v>120</v>
      </c>
      <c r="C108" s="8"/>
      <c r="D108" s="9" t="s">
        <v>97</v>
      </c>
      <c r="E108" s="10" t="s">
        <v>118</v>
      </c>
      <c r="F108" s="11" t="s">
        <v>98</v>
      </c>
      <c r="J108" s="12" t="s">
        <v>119</v>
      </c>
      <c r="K108" s="12"/>
    </row>
    <row r="109">
      <c r="A109" s="9">
        <v>43.0</v>
      </c>
      <c r="B109" s="8" t="s">
        <v>121</v>
      </c>
      <c r="C109" s="8"/>
      <c r="D109" s="9" t="s">
        <v>111</v>
      </c>
      <c r="E109" s="10" t="s">
        <v>118</v>
      </c>
      <c r="F109" s="11" t="s">
        <v>21</v>
      </c>
      <c r="G109" s="11" t="s">
        <v>30</v>
      </c>
      <c r="H109" s="11"/>
      <c r="I109" s="11" t="s">
        <v>22</v>
      </c>
      <c r="J109" s="12" t="s">
        <v>122</v>
      </c>
      <c r="K109" s="12"/>
    </row>
    <row r="110">
      <c r="A110" s="9"/>
      <c r="B110" s="8"/>
      <c r="C110" s="8"/>
      <c r="D110" s="9"/>
      <c r="E110" s="10"/>
      <c r="F110" s="11"/>
      <c r="G110" s="11"/>
      <c r="H110" s="11"/>
      <c r="I110" s="11" t="s">
        <v>18</v>
      </c>
      <c r="J110" s="12"/>
      <c r="K110" s="12"/>
    </row>
    <row r="111">
      <c r="A111" s="9"/>
      <c r="B111" s="8"/>
      <c r="C111" s="8"/>
      <c r="D111" s="9"/>
      <c r="E111" s="10"/>
      <c r="F111" s="11"/>
      <c r="G111" s="11"/>
      <c r="H111" s="11"/>
      <c r="I111" s="11" t="s">
        <v>26</v>
      </c>
      <c r="J111" s="12"/>
      <c r="K111" s="12"/>
    </row>
    <row r="112">
      <c r="A112" s="9">
        <v>44.0</v>
      </c>
      <c r="B112" s="8" t="s">
        <v>123</v>
      </c>
      <c r="C112" s="8"/>
      <c r="D112" s="9" t="s">
        <v>73</v>
      </c>
      <c r="E112" s="10" t="s">
        <v>118</v>
      </c>
      <c r="F112" s="11" t="s">
        <v>14</v>
      </c>
      <c r="G112" s="11" t="s">
        <v>15</v>
      </c>
      <c r="H112" s="11"/>
      <c r="I112" s="11" t="s">
        <v>18</v>
      </c>
      <c r="J112" s="12" t="s">
        <v>124</v>
      </c>
      <c r="K112" s="12"/>
    </row>
    <row r="113">
      <c r="A113" s="9"/>
      <c r="B113" s="8"/>
      <c r="C113" s="8"/>
      <c r="D113" s="9"/>
      <c r="E113" s="10"/>
      <c r="G113" s="11" t="s">
        <v>30</v>
      </c>
      <c r="H113" s="11"/>
      <c r="I113" s="11" t="s">
        <v>26</v>
      </c>
      <c r="J113" s="13"/>
      <c r="K113" s="13"/>
    </row>
    <row r="114">
      <c r="A114" s="9"/>
      <c r="B114" s="8"/>
      <c r="C114" s="8"/>
      <c r="D114" s="9"/>
      <c r="E114" s="10"/>
      <c r="G114" s="11" t="s">
        <v>17</v>
      </c>
      <c r="H114" s="11"/>
      <c r="J114" s="13"/>
      <c r="K114" s="13"/>
    </row>
    <row r="115">
      <c r="A115" s="9">
        <v>45.0</v>
      </c>
      <c r="B115" s="8" t="s">
        <v>125</v>
      </c>
      <c r="C115" s="8"/>
      <c r="D115" s="9" t="s">
        <v>111</v>
      </c>
      <c r="E115" s="10" t="s">
        <v>126</v>
      </c>
      <c r="F115" s="11" t="s">
        <v>21</v>
      </c>
      <c r="G115" s="11" t="s">
        <v>25</v>
      </c>
      <c r="H115" s="11"/>
      <c r="I115" s="11" t="s">
        <v>22</v>
      </c>
      <c r="J115" s="12" t="s">
        <v>112</v>
      </c>
      <c r="K115" s="12"/>
    </row>
    <row r="116">
      <c r="A116" s="9"/>
      <c r="B116" s="8"/>
      <c r="C116" s="8"/>
      <c r="D116" s="9"/>
      <c r="E116" s="10"/>
      <c r="G116" s="11" t="s">
        <v>30</v>
      </c>
      <c r="H116" s="11"/>
      <c r="J116" s="13"/>
      <c r="K116" s="13"/>
    </row>
    <row r="117">
      <c r="A117" s="9"/>
      <c r="B117" s="8"/>
      <c r="C117" s="8"/>
      <c r="D117" s="9"/>
      <c r="E117" s="10"/>
      <c r="G117" s="11" t="s">
        <v>43</v>
      </c>
      <c r="H117" s="11"/>
      <c r="J117" s="13"/>
      <c r="K117" s="13"/>
    </row>
    <row r="118">
      <c r="A118" s="9">
        <v>46.0</v>
      </c>
      <c r="B118" s="8" t="s">
        <v>127</v>
      </c>
      <c r="C118" s="8"/>
      <c r="D118" s="9" t="s">
        <v>111</v>
      </c>
      <c r="E118" s="10" t="s">
        <v>128</v>
      </c>
      <c r="F118" s="11" t="s">
        <v>21</v>
      </c>
      <c r="G118" s="11" t="s">
        <v>30</v>
      </c>
      <c r="H118" s="11"/>
      <c r="I118" s="11" t="s">
        <v>22</v>
      </c>
      <c r="J118" s="12" t="s">
        <v>112</v>
      </c>
      <c r="K118" s="12"/>
    </row>
    <row r="119">
      <c r="A119" s="9"/>
      <c r="B119" s="8"/>
      <c r="C119" s="8"/>
      <c r="D119" s="9"/>
      <c r="E119" s="10"/>
      <c r="G119" s="11" t="s">
        <v>43</v>
      </c>
      <c r="H119" s="11"/>
      <c r="J119" s="13"/>
      <c r="K119" s="13"/>
    </row>
    <row r="120">
      <c r="A120" s="9">
        <v>47.0</v>
      </c>
      <c r="B120" s="8" t="s">
        <v>129</v>
      </c>
      <c r="C120" s="8"/>
      <c r="D120" s="9" t="s">
        <v>111</v>
      </c>
      <c r="E120" s="10" t="s">
        <v>128</v>
      </c>
      <c r="F120" s="11" t="s">
        <v>21</v>
      </c>
      <c r="G120" s="11" t="s">
        <v>30</v>
      </c>
      <c r="H120" s="11"/>
      <c r="I120" s="11" t="s">
        <v>22</v>
      </c>
      <c r="J120" s="12" t="s">
        <v>112</v>
      </c>
      <c r="K120" s="12"/>
    </row>
    <row r="121">
      <c r="A121" s="9"/>
      <c r="B121" s="8"/>
      <c r="C121" s="8"/>
      <c r="D121" s="9"/>
      <c r="E121" s="10"/>
      <c r="G121" s="11" t="s">
        <v>43</v>
      </c>
      <c r="H121" s="11"/>
      <c r="I121" s="11" t="s">
        <v>130</v>
      </c>
      <c r="J121" s="13"/>
      <c r="K121" s="13"/>
    </row>
    <row r="122">
      <c r="A122" s="9">
        <v>48.0</v>
      </c>
      <c r="B122" s="8" t="s">
        <v>131</v>
      </c>
      <c r="C122" s="8"/>
      <c r="D122" s="9" t="s">
        <v>132</v>
      </c>
      <c r="E122" s="10" t="s">
        <v>133</v>
      </c>
      <c r="F122" s="11" t="s">
        <v>90</v>
      </c>
      <c r="G122" s="11" t="s">
        <v>30</v>
      </c>
      <c r="H122" s="11"/>
      <c r="I122" s="11" t="s">
        <v>22</v>
      </c>
      <c r="J122" s="12" t="s">
        <v>134</v>
      </c>
      <c r="K122" s="12"/>
    </row>
    <row r="123">
      <c r="A123" s="9"/>
      <c r="B123" s="8"/>
      <c r="C123" s="8"/>
      <c r="D123" s="10" t="s">
        <v>135</v>
      </c>
      <c r="E123" s="10"/>
      <c r="G123" s="11" t="s">
        <v>43</v>
      </c>
      <c r="H123" s="11"/>
      <c r="I123" s="11" t="s">
        <v>130</v>
      </c>
      <c r="J123" s="13"/>
      <c r="K123" s="13"/>
    </row>
    <row r="124">
      <c r="A124" s="9">
        <v>49.0</v>
      </c>
      <c r="B124" s="8" t="s">
        <v>419</v>
      </c>
      <c r="C124" s="8"/>
      <c r="D124" s="9" t="s">
        <v>420</v>
      </c>
      <c r="E124" s="10" t="s">
        <v>133</v>
      </c>
      <c r="F124" s="11" t="s">
        <v>421</v>
      </c>
      <c r="G124" s="11" t="s">
        <v>182</v>
      </c>
      <c r="H124" s="11"/>
      <c r="I124" s="11" t="s">
        <v>18</v>
      </c>
      <c r="J124" s="13"/>
      <c r="K124" s="13"/>
    </row>
    <row r="125">
      <c r="A125" s="9">
        <v>50.0</v>
      </c>
      <c r="B125" s="8" t="s">
        <v>136</v>
      </c>
      <c r="C125" s="8"/>
      <c r="D125" s="9" t="s">
        <v>111</v>
      </c>
      <c r="E125" s="10" t="s">
        <v>133</v>
      </c>
      <c r="F125" s="11" t="s">
        <v>21</v>
      </c>
      <c r="G125" s="11" t="s">
        <v>30</v>
      </c>
      <c r="H125" s="11"/>
      <c r="I125" s="11" t="s">
        <v>22</v>
      </c>
      <c r="J125" s="12" t="s">
        <v>112</v>
      </c>
      <c r="K125" s="12"/>
    </row>
    <row r="126">
      <c r="A126" s="9"/>
      <c r="B126" s="8"/>
      <c r="C126" s="8"/>
      <c r="D126" s="9"/>
      <c r="E126" s="10"/>
      <c r="F126" s="11"/>
      <c r="G126" s="11" t="s">
        <v>25</v>
      </c>
      <c r="H126" s="11"/>
      <c r="J126" s="12"/>
      <c r="K126" s="12"/>
    </row>
    <row r="127">
      <c r="A127" s="9"/>
      <c r="B127" s="8"/>
      <c r="C127" s="8"/>
      <c r="D127" s="9"/>
      <c r="E127" s="10"/>
      <c r="G127" s="11" t="s">
        <v>43</v>
      </c>
      <c r="H127" s="11"/>
      <c r="J127" s="13"/>
      <c r="K127" s="13"/>
    </row>
    <row r="128">
      <c r="A128" s="9">
        <v>51.0</v>
      </c>
      <c r="B128" s="8" t="s">
        <v>137</v>
      </c>
      <c r="C128" s="8"/>
      <c r="D128" s="9" t="s">
        <v>111</v>
      </c>
      <c r="E128" s="10" t="s">
        <v>133</v>
      </c>
      <c r="F128" s="11" t="s">
        <v>21</v>
      </c>
      <c r="G128" s="11" t="s">
        <v>30</v>
      </c>
      <c r="H128" s="11"/>
      <c r="I128" s="11" t="s">
        <v>22</v>
      </c>
      <c r="J128" s="12" t="s">
        <v>112</v>
      </c>
      <c r="K128" s="12"/>
    </row>
    <row r="129">
      <c r="A129" s="9"/>
      <c r="B129" s="8"/>
      <c r="C129" s="8"/>
      <c r="D129" s="9"/>
      <c r="E129" s="10"/>
      <c r="G129" s="11" t="s">
        <v>43</v>
      </c>
      <c r="H129" s="11"/>
      <c r="I129" s="11" t="s">
        <v>130</v>
      </c>
      <c r="J129" s="13"/>
      <c r="K129" s="13"/>
    </row>
    <row r="130">
      <c r="A130" s="9">
        <v>52.0</v>
      </c>
      <c r="B130" s="8" t="s">
        <v>138</v>
      </c>
      <c r="C130" s="8"/>
      <c r="D130" s="9" t="s">
        <v>139</v>
      </c>
      <c r="E130" s="9" t="s">
        <v>140</v>
      </c>
      <c r="F130" s="11" t="s">
        <v>90</v>
      </c>
      <c r="G130" s="11" t="s">
        <v>30</v>
      </c>
      <c r="H130" s="11"/>
      <c r="I130" s="11" t="s">
        <v>22</v>
      </c>
      <c r="J130" s="12" t="s">
        <v>141</v>
      </c>
      <c r="K130" s="12"/>
    </row>
    <row r="131">
      <c r="A131" s="9"/>
      <c r="B131" s="8"/>
      <c r="C131" s="8"/>
      <c r="D131" s="10" t="s">
        <v>142</v>
      </c>
      <c r="E131" s="9"/>
      <c r="G131" s="11" t="s">
        <v>17</v>
      </c>
      <c r="H131" s="11"/>
      <c r="I131" s="11" t="s">
        <v>143</v>
      </c>
      <c r="J131" s="13"/>
      <c r="K131" s="13"/>
    </row>
    <row r="132">
      <c r="A132" s="9"/>
      <c r="B132" s="8"/>
      <c r="C132" s="8"/>
      <c r="D132" s="10"/>
      <c r="E132" s="9"/>
      <c r="G132" s="11" t="s">
        <v>144</v>
      </c>
      <c r="H132" s="11"/>
      <c r="J132" s="13"/>
      <c r="K132" s="13"/>
    </row>
    <row r="133">
      <c r="A133" s="9">
        <v>53.0</v>
      </c>
      <c r="B133" s="14" t="s">
        <v>145</v>
      </c>
      <c r="C133" s="14"/>
      <c r="D133" s="9" t="s">
        <v>111</v>
      </c>
      <c r="E133" s="9" t="s">
        <v>140</v>
      </c>
      <c r="F133" s="11" t="s">
        <v>21</v>
      </c>
      <c r="G133" s="11" t="s">
        <v>25</v>
      </c>
      <c r="H133" s="11"/>
      <c r="I133" s="11" t="s">
        <v>22</v>
      </c>
      <c r="J133" s="12" t="s">
        <v>112</v>
      </c>
      <c r="K133" s="12"/>
    </row>
    <row r="134">
      <c r="A134" s="9"/>
      <c r="B134" s="14"/>
      <c r="C134" s="14"/>
      <c r="D134" s="9"/>
      <c r="E134" s="9"/>
      <c r="G134" s="11" t="s">
        <v>30</v>
      </c>
      <c r="H134" s="11"/>
      <c r="I134" s="11" t="s">
        <v>143</v>
      </c>
      <c r="J134" s="13"/>
      <c r="K134" s="13"/>
    </row>
    <row r="135">
      <c r="A135" s="9"/>
      <c r="B135" s="14"/>
      <c r="C135" s="14"/>
      <c r="D135" s="9"/>
      <c r="E135" s="9"/>
      <c r="G135" s="11" t="s">
        <v>43</v>
      </c>
      <c r="H135" s="11"/>
      <c r="J135" s="13"/>
      <c r="K135" s="13"/>
    </row>
    <row r="136">
      <c r="A136" s="9">
        <v>54.0</v>
      </c>
      <c r="B136" s="14" t="s">
        <v>146</v>
      </c>
      <c r="C136" s="14"/>
      <c r="D136" s="9" t="s">
        <v>111</v>
      </c>
      <c r="E136" s="9" t="s">
        <v>147</v>
      </c>
      <c r="F136" s="11" t="s">
        <v>21</v>
      </c>
      <c r="G136" s="11" t="s">
        <v>148</v>
      </c>
      <c r="H136" s="11"/>
      <c r="I136" s="11" t="s">
        <v>22</v>
      </c>
      <c r="J136" s="12" t="s">
        <v>149</v>
      </c>
      <c r="K136" s="13"/>
    </row>
    <row r="137">
      <c r="A137" s="9"/>
      <c r="B137" s="14"/>
      <c r="C137" s="14"/>
      <c r="D137" s="9"/>
      <c r="E137" s="9"/>
      <c r="G137" s="11" t="s">
        <v>91</v>
      </c>
      <c r="H137" s="11"/>
      <c r="I137" s="11" t="s">
        <v>143</v>
      </c>
      <c r="J137" s="13"/>
      <c r="K137" s="13"/>
    </row>
    <row r="138">
      <c r="A138" s="9"/>
      <c r="B138" s="14"/>
      <c r="C138" s="14"/>
      <c r="D138" s="9"/>
      <c r="E138" s="9"/>
      <c r="G138" s="11" t="s">
        <v>30</v>
      </c>
      <c r="H138" s="11"/>
      <c r="J138" s="13"/>
      <c r="K138" s="13"/>
    </row>
    <row r="139">
      <c r="A139" s="9"/>
      <c r="B139" s="14"/>
      <c r="C139" s="14"/>
      <c r="D139" s="9"/>
      <c r="E139" s="9"/>
      <c r="G139" s="11" t="s">
        <v>43</v>
      </c>
      <c r="H139" s="11"/>
      <c r="J139" s="13"/>
      <c r="K139" s="13"/>
    </row>
    <row r="140">
      <c r="A140" s="9">
        <v>55.0</v>
      </c>
      <c r="B140" s="14" t="s">
        <v>150</v>
      </c>
      <c r="C140" s="14"/>
      <c r="D140" s="9" t="s">
        <v>111</v>
      </c>
      <c r="E140" s="9" t="s">
        <v>151</v>
      </c>
      <c r="F140" s="11" t="s">
        <v>21</v>
      </c>
      <c r="G140" s="11" t="s">
        <v>30</v>
      </c>
      <c r="H140" s="11"/>
      <c r="I140" s="11" t="s">
        <v>22</v>
      </c>
      <c r="J140" s="12" t="s">
        <v>152</v>
      </c>
      <c r="K140" s="13"/>
    </row>
    <row r="141">
      <c r="A141" s="9"/>
      <c r="B141" s="14"/>
      <c r="C141" s="14"/>
      <c r="D141" s="10" t="s">
        <v>153</v>
      </c>
      <c r="E141" s="9"/>
      <c r="I141" s="11" t="s">
        <v>143</v>
      </c>
      <c r="J141" s="13"/>
      <c r="K141" s="13"/>
    </row>
    <row r="142">
      <c r="A142" s="9">
        <v>56.0</v>
      </c>
      <c r="B142" s="8" t="s">
        <v>422</v>
      </c>
      <c r="C142" s="8"/>
      <c r="D142" s="9" t="s">
        <v>244</v>
      </c>
      <c r="E142" s="9" t="s">
        <v>155</v>
      </c>
      <c r="F142" s="11" t="s">
        <v>219</v>
      </c>
      <c r="G142" s="11" t="s">
        <v>423</v>
      </c>
      <c r="H142" s="11"/>
      <c r="J142" s="13"/>
      <c r="K142" s="13"/>
    </row>
    <row r="143">
      <c r="A143" s="9">
        <v>57.0</v>
      </c>
      <c r="B143" s="8" t="s">
        <v>154</v>
      </c>
      <c r="C143" s="8"/>
      <c r="D143" s="9" t="s">
        <v>139</v>
      </c>
      <c r="E143" s="9" t="s">
        <v>155</v>
      </c>
      <c r="F143" s="11" t="s">
        <v>90</v>
      </c>
      <c r="G143" s="11" t="s">
        <v>108</v>
      </c>
      <c r="H143" s="11"/>
      <c r="I143" s="11" t="s">
        <v>22</v>
      </c>
      <c r="J143" s="12" t="s">
        <v>141</v>
      </c>
      <c r="K143" s="15">
        <v>171000.0</v>
      </c>
    </row>
    <row r="144">
      <c r="A144" s="9"/>
      <c r="B144" s="8"/>
      <c r="C144" s="8"/>
      <c r="D144" s="9"/>
      <c r="E144" s="9"/>
      <c r="G144" s="11" t="s">
        <v>83</v>
      </c>
      <c r="H144" s="11"/>
      <c r="I144" s="11" t="s">
        <v>143</v>
      </c>
      <c r="J144" s="12" t="s">
        <v>156</v>
      </c>
      <c r="K144" s="13"/>
    </row>
    <row r="145">
      <c r="A145" s="9">
        <v>58.0</v>
      </c>
      <c r="B145" s="14" t="s">
        <v>157</v>
      </c>
      <c r="C145" s="14"/>
      <c r="D145" s="9" t="s">
        <v>111</v>
      </c>
      <c r="E145" s="9" t="s">
        <v>158</v>
      </c>
      <c r="F145" s="11" t="s">
        <v>21</v>
      </c>
      <c r="G145" s="11" t="s">
        <v>30</v>
      </c>
      <c r="H145" s="11"/>
      <c r="I145" s="11" t="s">
        <v>22</v>
      </c>
      <c r="J145" s="12" t="s">
        <v>159</v>
      </c>
      <c r="K145" s="12">
        <v>300000.0</v>
      </c>
    </row>
    <row r="146">
      <c r="A146" s="9"/>
      <c r="B146" s="14"/>
      <c r="C146" s="14"/>
      <c r="D146" s="9"/>
      <c r="E146" s="9"/>
      <c r="F146" s="11"/>
      <c r="G146" s="11"/>
      <c r="H146" s="11"/>
      <c r="I146" s="11" t="s">
        <v>143</v>
      </c>
      <c r="J146" s="12"/>
      <c r="K146" s="12"/>
    </row>
    <row r="147">
      <c r="A147" s="9">
        <v>59.0</v>
      </c>
      <c r="B147" s="8" t="s">
        <v>424</v>
      </c>
      <c r="C147" s="8"/>
      <c r="D147" s="9" t="s">
        <v>425</v>
      </c>
      <c r="E147" s="9" t="s">
        <v>158</v>
      </c>
      <c r="F147" s="11" t="s">
        <v>254</v>
      </c>
      <c r="G147" s="11" t="s">
        <v>30</v>
      </c>
      <c r="H147" s="11"/>
      <c r="J147" s="13"/>
      <c r="K147" s="13"/>
    </row>
    <row r="148">
      <c r="A148" s="9"/>
      <c r="B148" s="14"/>
      <c r="C148" s="14"/>
      <c r="D148" s="9"/>
      <c r="E148" s="9"/>
      <c r="F148" s="11"/>
      <c r="G148" s="11" t="s">
        <v>43</v>
      </c>
      <c r="H148" s="11"/>
      <c r="J148" s="13"/>
      <c r="K148" s="13"/>
    </row>
    <row r="149">
      <c r="A149" s="9">
        <v>60.0</v>
      </c>
      <c r="B149" s="14" t="s">
        <v>160</v>
      </c>
      <c r="C149" s="14"/>
      <c r="D149" s="9" t="s">
        <v>161</v>
      </c>
      <c r="E149" s="9" t="s">
        <v>158</v>
      </c>
      <c r="F149" s="11" t="s">
        <v>162</v>
      </c>
      <c r="G149" s="11" t="s">
        <v>25</v>
      </c>
      <c r="H149" s="11"/>
      <c r="I149" s="11" t="s">
        <v>22</v>
      </c>
      <c r="J149" s="12" t="s">
        <v>163</v>
      </c>
      <c r="K149" s="12">
        <v>142000.0</v>
      </c>
    </row>
    <row r="150">
      <c r="A150" s="9"/>
      <c r="B150" s="14"/>
      <c r="C150" s="14"/>
      <c r="D150" s="9"/>
      <c r="E150" s="9"/>
      <c r="F150" s="11"/>
      <c r="G150" s="11"/>
      <c r="H150" s="11"/>
      <c r="I150" s="11" t="s">
        <v>143</v>
      </c>
      <c r="J150" s="12"/>
      <c r="K150" s="13"/>
    </row>
    <row r="151">
      <c r="A151" s="9">
        <v>61.0</v>
      </c>
      <c r="B151" s="14" t="s">
        <v>164</v>
      </c>
      <c r="C151" s="14"/>
      <c r="D151" s="9" t="s">
        <v>111</v>
      </c>
      <c r="E151" s="9" t="s">
        <v>165</v>
      </c>
      <c r="F151" s="11" t="s">
        <v>21</v>
      </c>
      <c r="G151" s="11" t="s">
        <v>25</v>
      </c>
      <c r="H151" s="11"/>
      <c r="I151" s="11" t="s">
        <v>22</v>
      </c>
      <c r="J151" s="12" t="s">
        <v>166</v>
      </c>
      <c r="K151" s="12">
        <v>960000.0</v>
      </c>
    </row>
    <row r="152">
      <c r="A152" s="9"/>
      <c r="B152" s="14"/>
      <c r="C152" s="14"/>
      <c r="D152" s="9"/>
      <c r="E152" s="9"/>
      <c r="G152" s="11" t="s">
        <v>30</v>
      </c>
      <c r="H152" s="11"/>
      <c r="I152" s="11" t="s">
        <v>143</v>
      </c>
      <c r="J152" s="13"/>
      <c r="K152" s="13"/>
    </row>
    <row r="153">
      <c r="A153" s="9"/>
      <c r="B153" s="14"/>
      <c r="C153" s="14"/>
      <c r="D153" s="9"/>
      <c r="E153" s="9"/>
      <c r="G153" s="11" t="s">
        <v>43</v>
      </c>
      <c r="H153" s="11"/>
      <c r="J153" s="13"/>
      <c r="K153" s="13"/>
    </row>
    <row r="154">
      <c r="A154" s="9">
        <v>62.0</v>
      </c>
      <c r="B154" s="8" t="s">
        <v>167</v>
      </c>
      <c r="C154" s="8"/>
      <c r="D154" s="9" t="s">
        <v>139</v>
      </c>
      <c r="E154" s="9" t="s">
        <v>168</v>
      </c>
      <c r="F154" s="11" t="s">
        <v>90</v>
      </c>
      <c r="G154" s="11" t="s">
        <v>108</v>
      </c>
      <c r="H154" s="11"/>
      <c r="I154" s="11" t="s">
        <v>22</v>
      </c>
      <c r="J154" s="12" t="s">
        <v>169</v>
      </c>
      <c r="K154" s="13"/>
    </row>
    <row r="155">
      <c r="A155" s="9"/>
      <c r="B155" s="8"/>
      <c r="C155" s="8"/>
      <c r="D155" s="9"/>
      <c r="E155" s="9"/>
      <c r="F155" s="11"/>
      <c r="G155" s="11" t="s">
        <v>170</v>
      </c>
      <c r="H155" s="11"/>
      <c r="I155" s="11" t="s">
        <v>143</v>
      </c>
      <c r="J155" s="12" t="s">
        <v>171</v>
      </c>
      <c r="K155" s="13"/>
    </row>
    <row r="156">
      <c r="A156" s="9"/>
      <c r="B156" s="8"/>
      <c r="C156" s="8"/>
      <c r="D156" s="9"/>
      <c r="E156" s="9"/>
      <c r="F156" s="11"/>
      <c r="G156" s="11"/>
      <c r="H156" s="11"/>
      <c r="I156" s="11"/>
      <c r="J156" s="12" t="s">
        <v>172</v>
      </c>
      <c r="K156" s="13"/>
    </row>
    <row r="157">
      <c r="A157" s="9">
        <v>63.0</v>
      </c>
      <c r="B157" s="14" t="s">
        <v>173</v>
      </c>
      <c r="C157" s="14"/>
      <c r="D157" s="9" t="s">
        <v>111</v>
      </c>
      <c r="E157" s="9" t="s">
        <v>174</v>
      </c>
      <c r="F157" s="11" t="s">
        <v>21</v>
      </c>
      <c r="G157" s="11" t="s">
        <v>25</v>
      </c>
      <c r="H157" s="11"/>
      <c r="I157" s="11" t="s">
        <v>22</v>
      </c>
      <c r="J157" s="12" t="s">
        <v>149</v>
      </c>
      <c r="K157" s="13"/>
    </row>
    <row r="158">
      <c r="A158" s="9"/>
      <c r="B158" s="14"/>
      <c r="C158" s="14"/>
      <c r="D158" s="10" t="s">
        <v>175</v>
      </c>
      <c r="E158" s="9"/>
      <c r="F158" s="11"/>
      <c r="G158" s="11" t="s">
        <v>30</v>
      </c>
      <c r="H158" s="11"/>
      <c r="I158" s="11" t="s">
        <v>143</v>
      </c>
      <c r="J158" s="13"/>
      <c r="K158" s="13"/>
    </row>
    <row r="159">
      <c r="A159" s="9"/>
      <c r="B159" s="14"/>
      <c r="C159" s="14"/>
      <c r="D159" s="10"/>
      <c r="E159" s="9"/>
      <c r="F159" s="11"/>
      <c r="G159" s="11" t="s">
        <v>176</v>
      </c>
      <c r="H159" s="11"/>
      <c r="J159" s="13"/>
      <c r="K159" s="13"/>
    </row>
    <row r="160">
      <c r="A160" s="9">
        <v>64.0</v>
      </c>
      <c r="B160" s="8" t="s">
        <v>177</v>
      </c>
      <c r="C160" s="8" t="s">
        <v>178</v>
      </c>
      <c r="D160" s="9" t="s">
        <v>179</v>
      </c>
      <c r="E160" s="9" t="s">
        <v>180</v>
      </c>
      <c r="F160" s="11" t="s">
        <v>181</v>
      </c>
      <c r="G160" s="11" t="s">
        <v>182</v>
      </c>
      <c r="H160" s="11"/>
      <c r="I160" s="11" t="s">
        <v>22</v>
      </c>
      <c r="J160" s="12" t="s">
        <v>183</v>
      </c>
      <c r="K160" s="13"/>
    </row>
    <row r="161">
      <c r="A161" s="9"/>
      <c r="B161" s="8"/>
      <c r="C161" s="8"/>
      <c r="D161" s="10" t="s">
        <v>184</v>
      </c>
      <c r="E161" s="9"/>
      <c r="G161" s="11" t="s">
        <v>30</v>
      </c>
      <c r="H161" s="11"/>
      <c r="J161" s="13"/>
      <c r="K161" s="13"/>
    </row>
    <row r="162">
      <c r="A162" s="9"/>
      <c r="B162" s="8"/>
      <c r="C162" s="8"/>
      <c r="D162" s="10"/>
      <c r="E162" s="9"/>
      <c r="G162" s="11" t="s">
        <v>185</v>
      </c>
      <c r="H162" s="11"/>
      <c r="J162" s="13"/>
      <c r="K162" s="13"/>
    </row>
    <row r="163">
      <c r="A163" s="9">
        <v>65.0</v>
      </c>
      <c r="B163" s="14" t="s">
        <v>186</v>
      </c>
      <c r="C163" s="14"/>
      <c r="D163" s="9" t="s">
        <v>187</v>
      </c>
      <c r="E163" s="9" t="s">
        <v>188</v>
      </c>
      <c r="F163" s="11" t="s">
        <v>21</v>
      </c>
      <c r="G163" s="11" t="s">
        <v>30</v>
      </c>
      <c r="H163" s="11"/>
      <c r="I163" s="11" t="s">
        <v>189</v>
      </c>
      <c r="J163" s="13"/>
      <c r="K163" s="12">
        <v>275.0</v>
      </c>
    </row>
    <row r="164">
      <c r="A164" s="9"/>
      <c r="B164" s="14"/>
      <c r="C164" s="14"/>
      <c r="D164" s="9"/>
      <c r="E164" s="9"/>
      <c r="G164" s="11" t="s">
        <v>17</v>
      </c>
      <c r="H164" s="11"/>
      <c r="I164" s="11" t="s">
        <v>18</v>
      </c>
      <c r="J164" s="13"/>
      <c r="K164" s="13"/>
    </row>
    <row r="165">
      <c r="A165" s="9"/>
      <c r="B165" s="14"/>
      <c r="C165" s="14"/>
      <c r="D165" s="9"/>
      <c r="E165" s="9"/>
      <c r="G165" s="11" t="s">
        <v>144</v>
      </c>
      <c r="H165" s="11"/>
      <c r="I165" s="11" t="s">
        <v>22</v>
      </c>
      <c r="J165" s="13"/>
      <c r="K165" s="13"/>
    </row>
    <row r="166">
      <c r="A166" s="9"/>
      <c r="B166" s="14"/>
      <c r="C166" s="14"/>
      <c r="D166" s="9"/>
      <c r="E166" s="9"/>
      <c r="G166" s="11" t="s">
        <v>15</v>
      </c>
      <c r="H166" s="11"/>
      <c r="I166" s="11" t="s">
        <v>143</v>
      </c>
      <c r="J166" s="13"/>
      <c r="K166" s="13"/>
    </row>
    <row r="167">
      <c r="A167" s="9"/>
      <c r="B167" s="14"/>
      <c r="C167" s="14"/>
      <c r="D167" s="9"/>
      <c r="E167" s="9"/>
      <c r="G167" s="11" t="s">
        <v>190</v>
      </c>
      <c r="H167" s="11"/>
      <c r="I167" s="11"/>
      <c r="J167" s="13"/>
      <c r="K167" s="13"/>
    </row>
    <row r="168">
      <c r="A168" s="9">
        <v>66.0</v>
      </c>
      <c r="B168" s="14" t="s">
        <v>191</v>
      </c>
      <c r="C168" s="14"/>
      <c r="D168" s="9" t="s">
        <v>111</v>
      </c>
      <c r="E168" s="9" t="s">
        <v>188</v>
      </c>
      <c r="F168" s="11" t="s">
        <v>21</v>
      </c>
      <c r="G168" s="11" t="s">
        <v>30</v>
      </c>
      <c r="H168" s="11"/>
      <c r="I168" s="11" t="s">
        <v>22</v>
      </c>
      <c r="J168" s="12" t="s">
        <v>159</v>
      </c>
      <c r="K168" s="13"/>
    </row>
    <row r="169">
      <c r="A169" s="9"/>
      <c r="B169" s="14"/>
      <c r="C169" s="14"/>
      <c r="D169" s="9"/>
      <c r="E169" s="9"/>
      <c r="G169" s="11" t="s">
        <v>192</v>
      </c>
      <c r="H169" s="11"/>
      <c r="I169" s="11" t="s">
        <v>143</v>
      </c>
      <c r="J169" s="13"/>
      <c r="K169" s="13"/>
    </row>
    <row r="170">
      <c r="A170" s="9">
        <v>67.0</v>
      </c>
      <c r="B170" s="14" t="s">
        <v>193</v>
      </c>
      <c r="C170" s="14"/>
      <c r="D170" s="9" t="s">
        <v>187</v>
      </c>
      <c r="E170" s="9" t="s">
        <v>194</v>
      </c>
      <c r="F170" s="11" t="s">
        <v>21</v>
      </c>
      <c r="G170" s="11" t="s">
        <v>15</v>
      </c>
      <c r="H170" s="11"/>
      <c r="I170" s="11" t="s">
        <v>18</v>
      </c>
      <c r="J170" s="13"/>
      <c r="K170" s="13"/>
    </row>
    <row r="171">
      <c r="A171" s="9"/>
      <c r="B171" s="14"/>
      <c r="C171" s="14"/>
      <c r="D171" s="9"/>
      <c r="E171" s="9"/>
      <c r="G171" s="11" t="s">
        <v>30</v>
      </c>
      <c r="H171" s="11"/>
      <c r="I171" s="11" t="s">
        <v>143</v>
      </c>
      <c r="J171" s="13"/>
      <c r="K171" s="13"/>
    </row>
    <row r="172">
      <c r="A172" s="9"/>
      <c r="B172" s="14"/>
      <c r="C172" s="14"/>
      <c r="D172" s="9"/>
      <c r="E172" s="9"/>
      <c r="G172" s="11" t="s">
        <v>17</v>
      </c>
      <c r="H172" s="11"/>
      <c r="J172" s="13"/>
      <c r="K172" s="13"/>
    </row>
    <row r="173">
      <c r="A173" s="9"/>
      <c r="B173" s="14"/>
      <c r="C173" s="14"/>
      <c r="D173" s="9"/>
      <c r="E173" s="9"/>
      <c r="G173" s="11" t="s">
        <v>190</v>
      </c>
      <c r="H173" s="11"/>
      <c r="J173" s="13"/>
      <c r="K173" s="13"/>
    </row>
    <row r="174">
      <c r="A174" s="9">
        <v>68.0</v>
      </c>
      <c r="B174" s="8" t="s">
        <v>195</v>
      </c>
      <c r="C174" s="8" t="s">
        <v>196</v>
      </c>
      <c r="D174" s="9" t="s">
        <v>179</v>
      </c>
      <c r="E174" s="9" t="s">
        <v>194</v>
      </c>
      <c r="F174" s="11" t="s">
        <v>181</v>
      </c>
      <c r="G174" s="11" t="s">
        <v>197</v>
      </c>
      <c r="H174" s="11"/>
      <c r="I174" s="11" t="s">
        <v>22</v>
      </c>
      <c r="J174" s="12" t="s">
        <v>198</v>
      </c>
      <c r="K174" s="13"/>
    </row>
    <row r="175">
      <c r="A175" s="9"/>
      <c r="B175" s="8"/>
      <c r="C175" s="8"/>
      <c r="D175" s="9"/>
      <c r="E175" s="9"/>
      <c r="G175" s="11" t="s">
        <v>182</v>
      </c>
      <c r="H175" s="11"/>
      <c r="I175" s="11" t="s">
        <v>143</v>
      </c>
      <c r="J175" s="13"/>
      <c r="K175" s="13"/>
    </row>
    <row r="176">
      <c r="A176" s="9"/>
      <c r="B176" s="8"/>
      <c r="C176" s="8"/>
      <c r="D176" s="9"/>
      <c r="E176" s="9"/>
      <c r="G176" s="11" t="s">
        <v>30</v>
      </c>
      <c r="H176" s="11"/>
      <c r="J176" s="13"/>
      <c r="K176" s="13"/>
    </row>
    <row r="177">
      <c r="A177" s="9"/>
      <c r="B177" s="8"/>
      <c r="C177" s="8"/>
      <c r="D177" s="9"/>
      <c r="E177" s="9"/>
      <c r="G177" s="11" t="s">
        <v>82</v>
      </c>
      <c r="H177" s="11"/>
      <c r="J177" s="13"/>
      <c r="K177" s="13"/>
    </row>
    <row r="178">
      <c r="A178" s="9">
        <v>69.0</v>
      </c>
      <c r="B178" s="8" t="s">
        <v>426</v>
      </c>
      <c r="C178" s="8" t="s">
        <v>427</v>
      </c>
      <c r="D178" s="9" t="s">
        <v>179</v>
      </c>
      <c r="E178" s="9" t="s">
        <v>194</v>
      </c>
      <c r="F178" s="11" t="s">
        <v>181</v>
      </c>
      <c r="G178" s="11" t="s">
        <v>182</v>
      </c>
      <c r="H178" s="11"/>
      <c r="I178" s="11" t="s">
        <v>22</v>
      </c>
      <c r="J178" s="13"/>
      <c r="K178" s="13"/>
    </row>
    <row r="179">
      <c r="A179" s="9"/>
      <c r="B179" s="8"/>
      <c r="C179" s="8"/>
      <c r="D179" s="9"/>
      <c r="E179" s="9"/>
      <c r="G179" s="11" t="s">
        <v>30</v>
      </c>
      <c r="H179" s="11"/>
      <c r="I179" s="11" t="s">
        <v>143</v>
      </c>
      <c r="J179" s="13"/>
      <c r="K179" s="13"/>
    </row>
    <row r="180">
      <c r="A180" s="9"/>
      <c r="B180" s="8"/>
      <c r="C180" s="8"/>
      <c r="D180" s="9"/>
      <c r="E180" s="9"/>
      <c r="G180" s="11" t="s">
        <v>185</v>
      </c>
      <c r="H180" s="11"/>
      <c r="J180" s="13"/>
      <c r="K180" s="13"/>
    </row>
    <row r="181">
      <c r="A181" s="9">
        <v>70.0</v>
      </c>
      <c r="B181" s="14" t="s">
        <v>199</v>
      </c>
      <c r="C181" s="14"/>
      <c r="D181" s="9" t="s">
        <v>200</v>
      </c>
      <c r="E181" s="9" t="s">
        <v>194</v>
      </c>
      <c r="F181" s="11" t="s">
        <v>162</v>
      </c>
      <c r="G181" s="11" t="s">
        <v>25</v>
      </c>
      <c r="H181" s="11"/>
      <c r="I181" s="11" t="s">
        <v>22</v>
      </c>
      <c r="J181" s="12" t="s">
        <v>163</v>
      </c>
      <c r="K181" s="13"/>
    </row>
    <row r="182">
      <c r="A182" s="9"/>
      <c r="B182" s="14"/>
      <c r="C182" s="14"/>
      <c r="D182" s="9"/>
      <c r="E182" s="9"/>
      <c r="G182" s="11" t="s">
        <v>43</v>
      </c>
      <c r="H182" s="11"/>
      <c r="I182" s="11" t="s">
        <v>143</v>
      </c>
      <c r="J182" s="13"/>
      <c r="K182" s="13"/>
    </row>
    <row r="183">
      <c r="A183" s="9">
        <v>71.0</v>
      </c>
      <c r="B183" s="14" t="s">
        <v>201</v>
      </c>
      <c r="C183" s="8" t="s">
        <v>202</v>
      </c>
      <c r="D183" s="9" t="s">
        <v>203</v>
      </c>
      <c r="E183" s="9" t="s">
        <v>204</v>
      </c>
      <c r="F183" s="11" t="s">
        <v>205</v>
      </c>
      <c r="G183" s="11" t="s">
        <v>30</v>
      </c>
      <c r="H183" s="11"/>
      <c r="I183" s="11" t="s">
        <v>22</v>
      </c>
      <c r="J183" s="12" t="s">
        <v>206</v>
      </c>
      <c r="K183" s="13"/>
    </row>
    <row r="184">
      <c r="A184" s="9"/>
      <c r="B184" s="14"/>
      <c r="C184" s="14"/>
      <c r="D184" s="9"/>
      <c r="E184" s="9"/>
      <c r="F184" s="11"/>
      <c r="G184" s="11"/>
      <c r="H184" s="11"/>
      <c r="I184" s="11" t="s">
        <v>143</v>
      </c>
      <c r="J184" s="12"/>
      <c r="K184" s="13"/>
    </row>
    <row r="185">
      <c r="A185" s="9">
        <v>72.0</v>
      </c>
      <c r="B185" s="14" t="s">
        <v>207</v>
      </c>
      <c r="C185" s="14"/>
      <c r="D185" s="9" t="s">
        <v>187</v>
      </c>
      <c r="E185" s="9" t="s">
        <v>208</v>
      </c>
      <c r="F185" s="11" t="s">
        <v>21</v>
      </c>
      <c r="G185" s="11" t="s">
        <v>15</v>
      </c>
      <c r="H185" s="11"/>
      <c r="I185" s="11" t="s">
        <v>18</v>
      </c>
      <c r="J185" s="13"/>
      <c r="K185" s="13"/>
    </row>
    <row r="186">
      <c r="A186" s="9"/>
      <c r="B186" s="14"/>
      <c r="C186" s="14"/>
      <c r="D186" s="9"/>
      <c r="E186" s="9"/>
      <c r="G186" s="11" t="s">
        <v>17</v>
      </c>
      <c r="H186" s="11"/>
      <c r="I186" s="11" t="s">
        <v>143</v>
      </c>
      <c r="J186" s="13"/>
      <c r="K186" s="13"/>
    </row>
    <row r="187">
      <c r="A187" s="9"/>
      <c r="B187" s="14"/>
      <c r="C187" s="14"/>
      <c r="D187" s="9"/>
      <c r="E187" s="9"/>
      <c r="G187" s="11" t="s">
        <v>190</v>
      </c>
      <c r="H187" s="11"/>
      <c r="J187" s="13"/>
      <c r="K187" s="13"/>
    </row>
    <row r="188">
      <c r="A188" s="9">
        <v>73.0</v>
      </c>
      <c r="B188" s="8" t="s">
        <v>209</v>
      </c>
      <c r="C188" s="8" t="s">
        <v>210</v>
      </c>
      <c r="D188" s="9" t="s">
        <v>179</v>
      </c>
      <c r="E188" s="9" t="s">
        <v>211</v>
      </c>
      <c r="F188" s="11" t="s">
        <v>181</v>
      </c>
      <c r="G188" s="11" t="s">
        <v>25</v>
      </c>
      <c r="H188" s="11"/>
      <c r="I188" s="11" t="s">
        <v>143</v>
      </c>
      <c r="J188" s="12" t="s">
        <v>212</v>
      </c>
      <c r="K188" s="13"/>
    </row>
    <row r="189">
      <c r="A189" s="9">
        <v>74.0</v>
      </c>
      <c r="B189" s="14" t="s">
        <v>428</v>
      </c>
      <c r="C189" s="14"/>
      <c r="D189" s="9" t="s">
        <v>429</v>
      </c>
      <c r="E189" s="9" t="s">
        <v>215</v>
      </c>
      <c r="F189" s="11" t="s">
        <v>430</v>
      </c>
      <c r="G189" s="11" t="s">
        <v>30</v>
      </c>
      <c r="H189" s="11"/>
      <c r="J189" s="12" t="s">
        <v>431</v>
      </c>
      <c r="K189" s="13"/>
    </row>
    <row r="190">
      <c r="A190" s="9">
        <v>75.0</v>
      </c>
      <c r="B190" s="14" t="s">
        <v>213</v>
      </c>
      <c r="C190" s="14"/>
      <c r="D190" s="9" t="s">
        <v>214</v>
      </c>
      <c r="E190" s="9" t="s">
        <v>215</v>
      </c>
      <c r="F190" s="11" t="s">
        <v>14</v>
      </c>
      <c r="G190" s="11" t="s">
        <v>25</v>
      </c>
      <c r="H190" s="11"/>
      <c r="I190" s="11" t="s">
        <v>22</v>
      </c>
      <c r="J190" s="12" t="s">
        <v>216</v>
      </c>
      <c r="K190" s="13"/>
    </row>
    <row r="191">
      <c r="A191" s="9"/>
      <c r="B191" s="14"/>
      <c r="C191" s="14"/>
      <c r="D191" s="9"/>
      <c r="E191" s="9"/>
      <c r="F191" s="11"/>
      <c r="G191" s="11" t="s">
        <v>43</v>
      </c>
      <c r="H191" s="11"/>
      <c r="I191" s="11" t="s">
        <v>143</v>
      </c>
      <c r="J191" s="13"/>
      <c r="K191" s="13"/>
    </row>
    <row r="192">
      <c r="A192" s="9">
        <v>76.0</v>
      </c>
      <c r="B192" s="14" t="s">
        <v>217</v>
      </c>
      <c r="C192" s="14"/>
      <c r="D192" s="9" t="s">
        <v>218</v>
      </c>
      <c r="E192" s="9" t="s">
        <v>215</v>
      </c>
      <c r="F192" s="11" t="s">
        <v>219</v>
      </c>
      <c r="G192" s="11" t="s">
        <v>30</v>
      </c>
      <c r="H192" s="11"/>
      <c r="I192" s="11" t="s">
        <v>22</v>
      </c>
      <c r="J192" s="12" t="s">
        <v>220</v>
      </c>
      <c r="K192" s="13"/>
    </row>
    <row r="193">
      <c r="A193" s="9"/>
      <c r="B193" s="14"/>
      <c r="C193" s="14"/>
      <c r="D193" s="9"/>
      <c r="E193" s="9"/>
      <c r="G193" s="11" t="s">
        <v>192</v>
      </c>
      <c r="H193" s="11"/>
      <c r="I193" s="11" t="s">
        <v>143</v>
      </c>
      <c r="J193" s="13"/>
      <c r="K193" s="13"/>
    </row>
    <row r="194">
      <c r="A194" s="9">
        <v>77.0</v>
      </c>
      <c r="B194" s="14" t="s">
        <v>221</v>
      </c>
      <c r="C194" s="14"/>
      <c r="D194" s="9" t="s">
        <v>222</v>
      </c>
      <c r="E194" s="9" t="s">
        <v>215</v>
      </c>
      <c r="F194" s="11" t="s">
        <v>21</v>
      </c>
      <c r="G194" s="11" t="s">
        <v>30</v>
      </c>
      <c r="H194" s="11"/>
      <c r="I194" s="11" t="s">
        <v>22</v>
      </c>
      <c r="J194" s="12" t="s">
        <v>223</v>
      </c>
      <c r="K194" s="12">
        <v>153000.0</v>
      </c>
    </row>
    <row r="195">
      <c r="A195" s="9"/>
      <c r="B195" s="14"/>
      <c r="C195" s="14"/>
      <c r="D195" s="10" t="s">
        <v>224</v>
      </c>
      <c r="E195" s="9"/>
      <c r="G195" s="11" t="s">
        <v>65</v>
      </c>
      <c r="H195" s="11"/>
      <c r="I195" s="11" t="s">
        <v>143</v>
      </c>
      <c r="J195" s="13"/>
      <c r="K195" s="13"/>
    </row>
    <row r="196">
      <c r="A196" s="9">
        <v>78.0</v>
      </c>
      <c r="B196" s="14" t="s">
        <v>225</v>
      </c>
      <c r="C196" s="14"/>
      <c r="D196" s="9" t="s">
        <v>222</v>
      </c>
      <c r="E196" s="9" t="s">
        <v>215</v>
      </c>
      <c r="F196" s="11" t="s">
        <v>21</v>
      </c>
      <c r="G196" s="11" t="s">
        <v>30</v>
      </c>
      <c r="H196" s="11"/>
      <c r="I196" s="11" t="s">
        <v>22</v>
      </c>
      <c r="J196" s="12" t="s">
        <v>226</v>
      </c>
      <c r="K196" s="12">
        <v>151000.0</v>
      </c>
    </row>
    <row r="197">
      <c r="A197" s="9"/>
      <c r="B197" s="14"/>
      <c r="C197" s="14"/>
      <c r="D197" s="9"/>
      <c r="E197" s="9"/>
      <c r="F197" s="11"/>
      <c r="G197" s="11" t="s">
        <v>65</v>
      </c>
      <c r="H197" s="11"/>
      <c r="I197" s="11" t="s">
        <v>143</v>
      </c>
      <c r="J197" s="13"/>
      <c r="K197" s="13"/>
    </row>
    <row r="198">
      <c r="A198" s="9">
        <v>79.0</v>
      </c>
      <c r="B198" s="14" t="s">
        <v>227</v>
      </c>
      <c r="C198" s="14"/>
      <c r="D198" s="9" t="s">
        <v>222</v>
      </c>
      <c r="E198" s="9" t="s">
        <v>228</v>
      </c>
      <c r="F198" s="11" t="s">
        <v>21</v>
      </c>
      <c r="G198" s="11" t="s">
        <v>185</v>
      </c>
      <c r="H198" s="11"/>
      <c r="I198" s="11" t="s">
        <v>22</v>
      </c>
      <c r="J198" s="12" t="s">
        <v>226</v>
      </c>
      <c r="K198" s="13"/>
    </row>
    <row r="199">
      <c r="A199" s="9"/>
      <c r="B199" s="14"/>
      <c r="C199" s="14"/>
      <c r="D199" s="9"/>
      <c r="E199" s="9"/>
      <c r="G199" s="11" t="s">
        <v>182</v>
      </c>
      <c r="H199" s="11"/>
      <c r="I199" s="11" t="s">
        <v>143</v>
      </c>
      <c r="J199" s="13"/>
      <c r="K199" s="13"/>
    </row>
    <row r="200">
      <c r="A200" s="9"/>
      <c r="B200" s="14"/>
      <c r="C200" s="14"/>
      <c r="D200" s="9"/>
      <c r="E200" s="9"/>
      <c r="G200" s="11" t="s">
        <v>30</v>
      </c>
      <c r="H200" s="11"/>
      <c r="J200" s="13"/>
      <c r="K200" s="13"/>
    </row>
    <row r="201">
      <c r="A201" s="9">
        <v>80.0</v>
      </c>
      <c r="B201" s="14" t="s">
        <v>229</v>
      </c>
      <c r="C201" s="14"/>
      <c r="D201" s="9" t="s">
        <v>222</v>
      </c>
      <c r="E201" s="9" t="s">
        <v>230</v>
      </c>
      <c r="F201" s="11" t="s">
        <v>21</v>
      </c>
      <c r="G201" s="11" t="s">
        <v>30</v>
      </c>
      <c r="H201" s="11"/>
      <c r="I201" s="11" t="s">
        <v>22</v>
      </c>
      <c r="J201" s="12" t="s">
        <v>226</v>
      </c>
      <c r="K201" s="13"/>
    </row>
    <row r="202">
      <c r="A202" s="9"/>
      <c r="B202" s="14"/>
      <c r="C202" s="14"/>
      <c r="D202" s="9"/>
      <c r="E202" s="9"/>
      <c r="G202" s="11" t="s">
        <v>43</v>
      </c>
      <c r="H202" s="11"/>
      <c r="I202" s="11" t="s">
        <v>143</v>
      </c>
      <c r="J202" s="13"/>
      <c r="K202" s="13"/>
    </row>
    <row r="203">
      <c r="A203" s="9"/>
      <c r="B203" s="14"/>
      <c r="C203" s="14"/>
      <c r="D203" s="9"/>
      <c r="E203" s="9"/>
      <c r="G203" s="11" t="s">
        <v>170</v>
      </c>
      <c r="H203" s="11"/>
      <c r="J203" s="13"/>
      <c r="K203" s="13"/>
    </row>
    <row r="204">
      <c r="A204" s="9">
        <v>81.0</v>
      </c>
      <c r="B204" s="14" t="s">
        <v>231</v>
      </c>
      <c r="C204" s="14"/>
      <c r="D204" s="9" t="s">
        <v>214</v>
      </c>
      <c r="E204" s="9" t="s">
        <v>230</v>
      </c>
      <c r="F204" s="11" t="s">
        <v>14</v>
      </c>
      <c r="G204" s="11" t="s">
        <v>30</v>
      </c>
      <c r="H204" s="11"/>
      <c r="I204" s="11" t="s">
        <v>22</v>
      </c>
      <c r="J204" s="16" t="s">
        <v>232</v>
      </c>
      <c r="K204" s="13"/>
      <c r="L204" s="11">
        <v>9934.0</v>
      </c>
    </row>
    <row r="205">
      <c r="A205" s="9"/>
      <c r="B205" s="14"/>
      <c r="C205" s="14"/>
      <c r="D205" s="9"/>
      <c r="E205" s="9"/>
      <c r="F205" s="11"/>
      <c r="G205" s="11"/>
      <c r="H205" s="11"/>
      <c r="I205" s="11" t="s">
        <v>143</v>
      </c>
      <c r="J205" s="16" t="s">
        <v>233</v>
      </c>
      <c r="K205" s="13"/>
    </row>
    <row r="206">
      <c r="A206" s="9"/>
      <c r="B206" s="14"/>
      <c r="C206" s="14"/>
      <c r="D206" s="9"/>
      <c r="E206" s="9"/>
      <c r="F206" s="11"/>
      <c r="G206" s="11"/>
      <c r="H206" s="11"/>
      <c r="J206" s="17" t="s">
        <v>432</v>
      </c>
      <c r="K206" s="13"/>
    </row>
    <row r="207">
      <c r="A207" s="9">
        <v>82.0</v>
      </c>
      <c r="B207" s="14" t="s">
        <v>433</v>
      </c>
      <c r="C207" s="14"/>
      <c r="D207" s="9" t="s">
        <v>434</v>
      </c>
      <c r="E207" s="9" t="s">
        <v>230</v>
      </c>
      <c r="F207" s="11" t="s">
        <v>435</v>
      </c>
      <c r="G207" s="11" t="s">
        <v>182</v>
      </c>
      <c r="H207" s="11"/>
      <c r="I207" s="11" t="s">
        <v>143</v>
      </c>
      <c r="J207" s="18" t="s">
        <v>436</v>
      </c>
      <c r="K207" s="13"/>
    </row>
    <row r="208">
      <c r="A208" s="9"/>
      <c r="B208" s="14"/>
      <c r="C208" s="14"/>
      <c r="D208" s="9"/>
      <c r="E208" s="9"/>
      <c r="G208" s="11" t="s">
        <v>30</v>
      </c>
      <c r="H208" s="11"/>
      <c r="I208" s="11" t="s">
        <v>189</v>
      </c>
      <c r="K208" s="13"/>
    </row>
    <row r="209">
      <c r="A209" s="9">
        <v>83.0</v>
      </c>
      <c r="B209" s="14" t="s">
        <v>234</v>
      </c>
      <c r="C209" s="14"/>
      <c r="D209" s="9" t="s">
        <v>218</v>
      </c>
      <c r="E209" s="9" t="s">
        <v>235</v>
      </c>
      <c r="F209" s="11" t="s">
        <v>219</v>
      </c>
      <c r="G209" s="11" t="s">
        <v>25</v>
      </c>
      <c r="H209" s="11"/>
      <c r="I209" s="11" t="s">
        <v>143</v>
      </c>
      <c r="J209" s="11" t="s">
        <v>236</v>
      </c>
      <c r="K209" s="13"/>
    </row>
    <row r="210">
      <c r="A210" s="9"/>
      <c r="B210" s="14"/>
      <c r="C210" s="14"/>
      <c r="D210" s="9"/>
      <c r="E210" s="9"/>
      <c r="F210" s="11"/>
      <c r="G210" s="11"/>
      <c r="H210" s="11"/>
      <c r="I210" s="11" t="s">
        <v>22</v>
      </c>
      <c r="J210" s="11"/>
      <c r="K210" s="13"/>
    </row>
    <row r="211">
      <c r="A211" s="9">
        <v>84.0</v>
      </c>
      <c r="B211" s="14" t="s">
        <v>237</v>
      </c>
      <c r="C211" s="14"/>
      <c r="D211" s="9" t="s">
        <v>222</v>
      </c>
      <c r="E211" s="9" t="s">
        <v>238</v>
      </c>
      <c r="F211" s="11" t="s">
        <v>21</v>
      </c>
      <c r="G211" s="11" t="s">
        <v>185</v>
      </c>
      <c r="H211" s="11"/>
      <c r="J211" s="12" t="s">
        <v>226</v>
      </c>
      <c r="K211" s="12">
        <v>175000.0</v>
      </c>
    </row>
    <row r="212">
      <c r="A212" s="9"/>
      <c r="B212" s="14"/>
      <c r="C212" s="14"/>
      <c r="D212" s="9"/>
      <c r="E212" s="9"/>
      <c r="G212" s="11" t="s">
        <v>182</v>
      </c>
      <c r="H212" s="11"/>
      <c r="J212" s="13"/>
      <c r="K212" s="13"/>
    </row>
    <row r="213">
      <c r="A213" s="9">
        <v>85.0</v>
      </c>
      <c r="B213" s="14" t="s">
        <v>239</v>
      </c>
      <c r="C213" s="14"/>
      <c r="D213" s="9" t="s">
        <v>222</v>
      </c>
      <c r="E213" s="9" t="s">
        <v>238</v>
      </c>
      <c r="F213" s="11" t="s">
        <v>21</v>
      </c>
      <c r="G213" s="11" t="s">
        <v>185</v>
      </c>
      <c r="H213" s="11"/>
      <c r="I213" s="11" t="s">
        <v>22</v>
      </c>
      <c r="J213" s="12" t="s">
        <v>226</v>
      </c>
      <c r="K213" s="12">
        <v>200000.0</v>
      </c>
    </row>
    <row r="214">
      <c r="A214" s="9"/>
      <c r="B214" s="14"/>
      <c r="C214" s="14"/>
      <c r="D214" s="9"/>
      <c r="E214" s="9"/>
      <c r="G214" s="11" t="s">
        <v>240</v>
      </c>
      <c r="H214" s="11"/>
      <c r="I214" s="11" t="s">
        <v>143</v>
      </c>
      <c r="J214" s="13"/>
      <c r="K214" s="13"/>
    </row>
    <row r="215">
      <c r="A215" s="9">
        <v>86.0</v>
      </c>
      <c r="B215" s="14" t="s">
        <v>241</v>
      </c>
      <c r="C215" s="14"/>
      <c r="D215" s="9" t="s">
        <v>218</v>
      </c>
      <c r="E215" s="9" t="s">
        <v>238</v>
      </c>
      <c r="F215" s="11" t="s">
        <v>219</v>
      </c>
      <c r="G215" s="11" t="s">
        <v>182</v>
      </c>
      <c r="H215" s="11"/>
      <c r="I215" s="11" t="s">
        <v>22</v>
      </c>
      <c r="J215" s="12" t="s">
        <v>236</v>
      </c>
      <c r="K215" s="13"/>
    </row>
    <row r="216">
      <c r="A216" s="9"/>
      <c r="B216" s="14"/>
      <c r="C216" s="14"/>
      <c r="D216" s="9"/>
      <c r="E216" s="9"/>
      <c r="G216" s="11" t="s">
        <v>30</v>
      </c>
      <c r="H216" s="11"/>
      <c r="I216" s="11" t="s">
        <v>143</v>
      </c>
      <c r="J216" s="12" t="s">
        <v>242</v>
      </c>
      <c r="K216" s="13"/>
    </row>
    <row r="217">
      <c r="A217" s="9">
        <v>87.0</v>
      </c>
      <c r="B217" s="14" t="s">
        <v>243</v>
      </c>
      <c r="C217" s="14"/>
      <c r="D217" s="9" t="s">
        <v>244</v>
      </c>
      <c r="E217" s="9" t="s">
        <v>245</v>
      </c>
      <c r="F217" s="11" t="s">
        <v>21</v>
      </c>
      <c r="G217" s="11" t="s">
        <v>95</v>
      </c>
      <c r="H217" s="11" t="s">
        <v>246</v>
      </c>
      <c r="J217" s="12" t="s">
        <v>247</v>
      </c>
      <c r="K217" s="13"/>
    </row>
    <row r="218">
      <c r="A218" s="9"/>
      <c r="B218" s="14"/>
      <c r="C218" s="14"/>
      <c r="D218" s="10" t="s">
        <v>248</v>
      </c>
      <c r="E218" s="9"/>
      <c r="F218" s="11" t="s">
        <v>219</v>
      </c>
      <c r="G218" s="11" t="s">
        <v>30</v>
      </c>
      <c r="H218" s="11"/>
      <c r="J218" s="12" t="s">
        <v>249</v>
      </c>
      <c r="K218" s="13"/>
    </row>
    <row r="219">
      <c r="A219" s="9">
        <v>88.0</v>
      </c>
      <c r="B219" s="14" t="s">
        <v>250</v>
      </c>
      <c r="C219" s="8" t="s">
        <v>251</v>
      </c>
      <c r="D219" s="9" t="s">
        <v>252</v>
      </c>
      <c r="E219" s="9" t="s">
        <v>253</v>
      </c>
      <c r="F219" s="11" t="s">
        <v>254</v>
      </c>
      <c r="G219" s="11" t="s">
        <v>79</v>
      </c>
      <c r="H219" s="11"/>
      <c r="I219" s="11" t="s">
        <v>22</v>
      </c>
      <c r="J219" s="12" t="s">
        <v>255</v>
      </c>
      <c r="K219" s="13"/>
      <c r="L219" s="11">
        <v>5394.0</v>
      </c>
    </row>
    <row r="220">
      <c r="A220" s="9"/>
      <c r="B220" s="14"/>
      <c r="C220" s="8"/>
      <c r="D220" s="9"/>
      <c r="E220" s="9"/>
      <c r="F220" s="11"/>
      <c r="G220" s="11" t="s">
        <v>30</v>
      </c>
      <c r="H220" s="11"/>
      <c r="I220" s="11" t="s">
        <v>143</v>
      </c>
      <c r="J220" s="13"/>
      <c r="K220" s="13"/>
    </row>
    <row r="221">
      <c r="A221" s="9"/>
      <c r="B221" s="14"/>
      <c r="C221" s="8"/>
      <c r="D221" s="9"/>
      <c r="E221" s="9"/>
      <c r="F221" s="11"/>
      <c r="G221" s="11" t="s">
        <v>43</v>
      </c>
      <c r="H221" s="11"/>
      <c r="I221" s="11" t="s">
        <v>189</v>
      </c>
      <c r="J221" s="13"/>
      <c r="K221" s="13"/>
    </row>
    <row r="222">
      <c r="A222" s="9">
        <v>89.0</v>
      </c>
      <c r="B222" s="14" t="s">
        <v>256</v>
      </c>
      <c r="C222" s="14"/>
      <c r="D222" s="9" t="s">
        <v>257</v>
      </c>
      <c r="E222" s="9" t="s">
        <v>253</v>
      </c>
      <c r="F222" s="11" t="s">
        <v>14</v>
      </c>
      <c r="G222" s="11" t="s">
        <v>30</v>
      </c>
      <c r="H222" s="11"/>
      <c r="I222" s="11" t="s">
        <v>22</v>
      </c>
      <c r="J222" s="15" t="s">
        <v>258</v>
      </c>
      <c r="K222" s="13"/>
      <c r="L222" s="11">
        <v>1596.0</v>
      </c>
    </row>
    <row r="223">
      <c r="A223" s="9"/>
      <c r="B223" s="14"/>
      <c r="C223" s="14"/>
      <c r="D223" s="9"/>
      <c r="E223" s="9"/>
      <c r="G223" s="11" t="s">
        <v>65</v>
      </c>
      <c r="H223" s="11"/>
      <c r="I223" s="11" t="s">
        <v>143</v>
      </c>
      <c r="J223" s="15" t="s">
        <v>259</v>
      </c>
      <c r="K223" s="13"/>
    </row>
    <row r="224">
      <c r="A224" s="9"/>
      <c r="B224" s="14"/>
      <c r="C224" s="14"/>
      <c r="D224" s="9"/>
      <c r="E224" s="9"/>
      <c r="G224" s="11" t="s">
        <v>43</v>
      </c>
      <c r="H224" s="11"/>
      <c r="I224" s="11" t="s">
        <v>189</v>
      </c>
      <c r="J224" s="13"/>
      <c r="K224" s="13"/>
    </row>
    <row r="225">
      <c r="A225" s="9">
        <v>90.0</v>
      </c>
      <c r="B225" s="14" t="s">
        <v>260</v>
      </c>
      <c r="C225" s="14"/>
      <c r="D225" s="9" t="s">
        <v>261</v>
      </c>
      <c r="E225" s="9" t="s">
        <v>262</v>
      </c>
      <c r="F225" s="11" t="s">
        <v>263</v>
      </c>
      <c r="G225" s="11" t="s">
        <v>30</v>
      </c>
      <c r="H225" s="11"/>
      <c r="I225" s="11" t="s">
        <v>189</v>
      </c>
      <c r="J225" s="12" t="s">
        <v>264</v>
      </c>
      <c r="K225" s="13"/>
    </row>
    <row r="226">
      <c r="A226" s="9"/>
      <c r="B226" s="14"/>
      <c r="C226" s="14"/>
      <c r="D226" s="10" t="s">
        <v>265</v>
      </c>
      <c r="E226" s="9"/>
      <c r="J226" s="13"/>
      <c r="K226" s="13"/>
    </row>
    <row r="227">
      <c r="A227" s="9">
        <v>91.0</v>
      </c>
      <c r="B227" s="8" t="s">
        <v>266</v>
      </c>
      <c r="C227" s="14"/>
      <c r="D227" s="9" t="s">
        <v>267</v>
      </c>
      <c r="E227" s="9" t="s">
        <v>268</v>
      </c>
      <c r="F227" s="11" t="s">
        <v>21</v>
      </c>
      <c r="G227" s="11" t="s">
        <v>190</v>
      </c>
      <c r="H227" s="11"/>
      <c r="I227" s="11" t="s">
        <v>269</v>
      </c>
      <c r="J227" s="13"/>
      <c r="K227" s="13"/>
    </row>
    <row r="228">
      <c r="A228" s="9"/>
      <c r="B228" s="8"/>
      <c r="C228" s="14"/>
      <c r="D228" s="9"/>
      <c r="E228" s="9"/>
      <c r="G228" s="11" t="s">
        <v>15</v>
      </c>
      <c r="H228" s="11"/>
      <c r="I228" s="11" t="s">
        <v>189</v>
      </c>
      <c r="J228" s="13"/>
      <c r="K228" s="13"/>
    </row>
    <row r="229">
      <c r="A229" s="9"/>
      <c r="B229" s="8"/>
      <c r="C229" s="14"/>
      <c r="D229" s="9"/>
      <c r="E229" s="9"/>
      <c r="G229" s="11"/>
      <c r="H229" s="11"/>
      <c r="I229" s="11" t="s">
        <v>22</v>
      </c>
      <c r="J229" s="13"/>
      <c r="K229" s="13"/>
    </row>
    <row r="230">
      <c r="A230" s="9">
        <v>92.0</v>
      </c>
      <c r="B230" s="8" t="s">
        <v>270</v>
      </c>
      <c r="C230" s="8" t="s">
        <v>271</v>
      </c>
      <c r="D230" s="9" t="s">
        <v>257</v>
      </c>
      <c r="E230" s="9" t="s">
        <v>272</v>
      </c>
      <c r="F230" s="11" t="s">
        <v>14</v>
      </c>
      <c r="G230" s="11" t="s">
        <v>30</v>
      </c>
      <c r="H230" s="11"/>
      <c r="I230" s="11" t="s">
        <v>273</v>
      </c>
      <c r="J230" s="15" t="s">
        <v>258</v>
      </c>
      <c r="K230" s="13"/>
      <c r="L230" s="11">
        <v>9929.0</v>
      </c>
    </row>
    <row r="231">
      <c r="A231" s="9"/>
      <c r="B231" s="8"/>
      <c r="C231" s="8"/>
      <c r="D231" s="9"/>
      <c r="E231" s="9"/>
      <c r="F231" s="11" t="s">
        <v>274</v>
      </c>
      <c r="G231" s="11"/>
      <c r="H231" s="11"/>
      <c r="I231" s="11" t="s">
        <v>269</v>
      </c>
      <c r="J231" s="15" t="s">
        <v>259</v>
      </c>
      <c r="K231" s="13"/>
    </row>
    <row r="232">
      <c r="A232" s="9"/>
      <c r="B232" s="14"/>
      <c r="C232" s="14"/>
      <c r="D232" s="9"/>
      <c r="E232" s="9"/>
      <c r="I232" s="11" t="s">
        <v>189</v>
      </c>
      <c r="J232" s="15" t="s">
        <v>275</v>
      </c>
      <c r="K232" s="13"/>
    </row>
    <row r="233">
      <c r="A233" s="9"/>
      <c r="B233" s="14"/>
      <c r="C233" s="14"/>
      <c r="D233" s="9"/>
      <c r="E233" s="9"/>
      <c r="I233" s="11" t="s">
        <v>22</v>
      </c>
      <c r="J233" s="15"/>
      <c r="K233" s="13"/>
    </row>
    <row r="234">
      <c r="A234" s="9"/>
      <c r="B234" s="14"/>
      <c r="C234" s="14"/>
      <c r="D234" s="9"/>
      <c r="E234" s="9"/>
      <c r="I234" s="11" t="s">
        <v>276</v>
      </c>
      <c r="J234" s="15"/>
      <c r="K234" s="13"/>
    </row>
    <row r="235">
      <c r="A235" s="9">
        <v>93.0</v>
      </c>
      <c r="B235" s="14" t="s">
        <v>277</v>
      </c>
      <c r="C235" s="14"/>
      <c r="D235" s="9" t="s">
        <v>267</v>
      </c>
      <c r="E235" s="9" t="s">
        <v>272</v>
      </c>
      <c r="F235" s="11" t="s">
        <v>21</v>
      </c>
      <c r="G235" s="11" t="s">
        <v>30</v>
      </c>
      <c r="H235" s="11"/>
      <c r="I235" s="11" t="s">
        <v>273</v>
      </c>
      <c r="J235" s="11" t="s">
        <v>278</v>
      </c>
      <c r="K235" s="12">
        <v>167000.0</v>
      </c>
    </row>
    <row r="236">
      <c r="A236" s="9"/>
      <c r="B236" s="14"/>
      <c r="C236" s="14"/>
      <c r="D236" s="9"/>
      <c r="E236" s="9"/>
      <c r="F236" s="11"/>
      <c r="G236" s="11"/>
      <c r="H236" s="11"/>
      <c r="I236" s="11" t="s">
        <v>143</v>
      </c>
      <c r="J236" s="11" t="s">
        <v>279</v>
      </c>
      <c r="K236" s="13"/>
    </row>
    <row r="237">
      <c r="A237" s="9"/>
      <c r="B237" s="14"/>
      <c r="C237" s="14"/>
      <c r="D237" s="9"/>
      <c r="E237" s="9"/>
      <c r="F237" s="11"/>
      <c r="G237" s="11"/>
      <c r="H237" s="11"/>
      <c r="I237" s="11" t="s">
        <v>22</v>
      </c>
      <c r="J237" s="11"/>
      <c r="K237" s="13"/>
    </row>
    <row r="238">
      <c r="A238" s="9">
        <v>94.0</v>
      </c>
      <c r="B238" s="14" t="s">
        <v>280</v>
      </c>
      <c r="C238" s="14"/>
      <c r="D238" s="9" t="s">
        <v>281</v>
      </c>
      <c r="E238" s="9" t="s">
        <v>272</v>
      </c>
      <c r="F238" s="11" t="s">
        <v>162</v>
      </c>
      <c r="G238" s="11" t="s">
        <v>25</v>
      </c>
      <c r="H238" s="11"/>
      <c r="I238" s="11" t="s">
        <v>273</v>
      </c>
      <c r="J238" s="12" t="s">
        <v>282</v>
      </c>
      <c r="K238" s="12">
        <v>3361500.0</v>
      </c>
    </row>
    <row r="239">
      <c r="A239" s="9"/>
      <c r="B239" s="14"/>
      <c r="C239" s="14"/>
      <c r="D239" s="9"/>
      <c r="E239" s="9"/>
      <c r="F239" s="11"/>
      <c r="G239" s="11"/>
      <c r="H239" s="11"/>
      <c r="I239" s="11" t="s">
        <v>143</v>
      </c>
      <c r="J239" s="12"/>
      <c r="K239" s="12"/>
    </row>
    <row r="240">
      <c r="A240" s="9"/>
      <c r="B240" s="14"/>
      <c r="C240" s="14"/>
      <c r="D240" s="9"/>
      <c r="E240" s="9"/>
      <c r="F240" s="11"/>
      <c r="G240" s="11"/>
      <c r="H240" s="11"/>
      <c r="I240" s="11" t="s">
        <v>189</v>
      </c>
      <c r="J240" s="12"/>
      <c r="K240" s="12"/>
    </row>
    <row r="241">
      <c r="A241" s="9">
        <v>95.0</v>
      </c>
      <c r="B241" s="14" t="s">
        <v>283</v>
      </c>
      <c r="C241" s="8" t="s">
        <v>284</v>
      </c>
      <c r="D241" s="9" t="s">
        <v>214</v>
      </c>
      <c r="E241" s="9" t="s">
        <v>285</v>
      </c>
      <c r="F241" s="11" t="s">
        <v>14</v>
      </c>
      <c r="G241" s="11" t="s">
        <v>25</v>
      </c>
      <c r="H241" s="11"/>
      <c r="I241" s="11" t="s">
        <v>273</v>
      </c>
      <c r="J241" s="15" t="s">
        <v>286</v>
      </c>
      <c r="K241" s="13"/>
    </row>
    <row r="242">
      <c r="A242" s="9"/>
      <c r="B242" s="14"/>
      <c r="C242" s="8"/>
      <c r="D242" s="9"/>
      <c r="E242" s="9"/>
      <c r="F242" s="11"/>
      <c r="G242" s="11" t="s">
        <v>91</v>
      </c>
      <c r="H242" s="11"/>
      <c r="J242" s="15" t="s">
        <v>287</v>
      </c>
      <c r="K242" s="13"/>
    </row>
    <row r="243">
      <c r="A243" s="9"/>
      <c r="B243" s="14"/>
      <c r="C243" s="8"/>
      <c r="D243" s="9"/>
      <c r="E243" s="9"/>
      <c r="F243" s="11"/>
      <c r="G243" s="11" t="s">
        <v>43</v>
      </c>
      <c r="H243" s="11"/>
      <c r="J243" s="15" t="s">
        <v>288</v>
      </c>
      <c r="K243" s="13"/>
    </row>
    <row r="244">
      <c r="A244" s="9">
        <v>96.0</v>
      </c>
      <c r="B244" s="14" t="s">
        <v>289</v>
      </c>
      <c r="C244" s="14"/>
      <c r="D244" s="9" t="s">
        <v>290</v>
      </c>
      <c r="E244" s="9" t="s">
        <v>291</v>
      </c>
      <c r="F244" s="11" t="s">
        <v>292</v>
      </c>
      <c r="G244" s="11" t="s">
        <v>30</v>
      </c>
      <c r="H244" s="11"/>
      <c r="I244" s="11" t="s">
        <v>273</v>
      </c>
      <c r="J244" s="13"/>
      <c r="K244" s="13"/>
    </row>
    <row r="245">
      <c r="A245" s="9"/>
      <c r="B245" s="14"/>
      <c r="C245" s="14"/>
      <c r="D245" s="9"/>
      <c r="E245" s="9"/>
      <c r="F245" s="11"/>
      <c r="G245" s="11"/>
      <c r="H245" s="11"/>
      <c r="I245" s="11" t="s">
        <v>189</v>
      </c>
      <c r="J245" s="13"/>
      <c r="K245" s="13"/>
    </row>
    <row r="246">
      <c r="A246" s="9">
        <v>97.0</v>
      </c>
      <c r="B246" s="14" t="s">
        <v>293</v>
      </c>
      <c r="C246" s="14"/>
      <c r="D246" s="9" t="s">
        <v>294</v>
      </c>
      <c r="E246" s="9" t="s">
        <v>291</v>
      </c>
      <c r="F246" s="11" t="s">
        <v>295</v>
      </c>
      <c r="G246" s="11" t="s">
        <v>108</v>
      </c>
      <c r="H246" s="11"/>
      <c r="I246" s="11" t="s">
        <v>273</v>
      </c>
      <c r="J246" s="12" t="s">
        <v>296</v>
      </c>
      <c r="K246" s="13"/>
    </row>
    <row r="247">
      <c r="A247" s="9"/>
      <c r="B247" s="14"/>
      <c r="C247" s="14"/>
      <c r="D247" s="9"/>
      <c r="E247" s="9"/>
      <c r="G247" s="11" t="s">
        <v>15</v>
      </c>
      <c r="H247" s="11"/>
      <c r="I247" s="11" t="s">
        <v>189</v>
      </c>
      <c r="J247" s="13"/>
      <c r="K247" s="13"/>
    </row>
    <row r="248">
      <c r="A248" s="9"/>
      <c r="B248" s="14"/>
      <c r="C248" s="14"/>
      <c r="D248" s="9"/>
      <c r="E248" s="9"/>
      <c r="G248" s="11"/>
      <c r="H248" s="11"/>
      <c r="I248" s="11" t="s">
        <v>143</v>
      </c>
      <c r="J248" s="13"/>
      <c r="K248" s="13"/>
    </row>
    <row r="249">
      <c r="A249" s="9">
        <v>98.0</v>
      </c>
      <c r="B249" s="14" t="s">
        <v>297</v>
      </c>
      <c r="C249" s="8" t="s">
        <v>298</v>
      </c>
      <c r="D249" s="9" t="s">
        <v>299</v>
      </c>
      <c r="E249" s="9" t="s">
        <v>291</v>
      </c>
      <c r="F249" s="11" t="s">
        <v>274</v>
      </c>
      <c r="G249" s="11" t="s">
        <v>30</v>
      </c>
      <c r="H249" s="11"/>
      <c r="I249" s="11" t="s">
        <v>273</v>
      </c>
      <c r="J249" s="12" t="s">
        <v>300</v>
      </c>
      <c r="K249" s="13"/>
      <c r="L249" s="11">
        <v>720.0</v>
      </c>
    </row>
    <row r="250">
      <c r="A250" s="9"/>
      <c r="B250" s="14"/>
      <c r="C250" s="8"/>
      <c r="D250" s="9"/>
      <c r="E250" s="9"/>
      <c r="F250" s="11"/>
      <c r="G250" s="11"/>
      <c r="H250" s="11"/>
      <c r="I250" s="11" t="s">
        <v>189</v>
      </c>
      <c r="J250" s="12" t="s">
        <v>301</v>
      </c>
      <c r="K250" s="13"/>
    </row>
    <row r="251">
      <c r="A251" s="9"/>
      <c r="B251" s="14"/>
      <c r="C251" s="8"/>
      <c r="D251" s="9"/>
      <c r="E251" s="9"/>
      <c r="F251" s="11"/>
      <c r="G251" s="11"/>
      <c r="H251" s="11"/>
      <c r="I251" s="11" t="s">
        <v>302</v>
      </c>
      <c r="J251" s="12"/>
      <c r="K251" s="13"/>
    </row>
    <row r="252">
      <c r="A252" s="9">
        <v>99.0</v>
      </c>
      <c r="B252" s="14" t="s">
        <v>303</v>
      </c>
      <c r="C252" s="14"/>
      <c r="D252" s="9" t="s">
        <v>267</v>
      </c>
      <c r="E252" s="9" t="s">
        <v>304</v>
      </c>
      <c r="F252" s="11" t="s">
        <v>21</v>
      </c>
      <c r="G252" s="11" t="s">
        <v>182</v>
      </c>
      <c r="H252" s="11"/>
      <c r="I252" s="11" t="s">
        <v>273</v>
      </c>
      <c r="J252" s="12" t="s">
        <v>303</v>
      </c>
      <c r="K252" s="13"/>
    </row>
    <row r="253">
      <c r="A253" s="9"/>
      <c r="B253" s="14"/>
      <c r="C253" s="14"/>
      <c r="D253" s="9"/>
      <c r="E253" s="9"/>
      <c r="G253" s="11" t="s">
        <v>30</v>
      </c>
      <c r="H253" s="11"/>
      <c r="I253" s="11" t="s">
        <v>189</v>
      </c>
      <c r="J253" s="12" t="s">
        <v>305</v>
      </c>
      <c r="K253" s="13"/>
    </row>
    <row r="254">
      <c r="A254" s="9"/>
      <c r="B254" s="14"/>
      <c r="C254" s="14"/>
      <c r="D254" s="9"/>
      <c r="E254" s="9"/>
      <c r="G254" s="11"/>
      <c r="H254" s="11"/>
      <c r="I254" s="11" t="s">
        <v>143</v>
      </c>
      <c r="J254" s="12"/>
      <c r="K254" s="13"/>
    </row>
    <row r="255">
      <c r="A255" s="9"/>
      <c r="B255" s="14"/>
      <c r="C255" s="14"/>
      <c r="D255" s="9"/>
      <c r="E255" s="9"/>
      <c r="G255" s="11"/>
      <c r="H255" s="11"/>
      <c r="I255" s="11" t="s">
        <v>22</v>
      </c>
      <c r="J255" s="12"/>
      <c r="K255" s="13"/>
    </row>
    <row r="256">
      <c r="A256" s="9">
        <v>100.0</v>
      </c>
      <c r="B256" s="8" t="s">
        <v>306</v>
      </c>
      <c r="C256" s="8" t="s">
        <v>307</v>
      </c>
      <c r="D256" s="9" t="s">
        <v>308</v>
      </c>
      <c r="E256" s="9" t="s">
        <v>304</v>
      </c>
      <c r="F256" s="11" t="s">
        <v>309</v>
      </c>
      <c r="G256" s="11" t="s">
        <v>30</v>
      </c>
      <c r="H256" s="11"/>
      <c r="I256" s="11" t="s">
        <v>273</v>
      </c>
      <c r="J256" s="12" t="s">
        <v>310</v>
      </c>
      <c r="K256" s="13"/>
    </row>
    <row r="257">
      <c r="A257" s="9"/>
      <c r="B257" s="8"/>
      <c r="C257" s="8"/>
      <c r="D257" s="9"/>
      <c r="E257" s="9"/>
      <c r="G257" s="11" t="s">
        <v>43</v>
      </c>
      <c r="H257" s="11"/>
      <c r="I257" s="11" t="s">
        <v>189</v>
      </c>
      <c r="J257" s="13"/>
      <c r="K257" s="13"/>
    </row>
    <row r="258">
      <c r="A258" s="9"/>
      <c r="B258" s="8"/>
      <c r="C258" s="8"/>
      <c r="D258" s="9"/>
      <c r="E258" s="9"/>
      <c r="G258" s="11"/>
      <c r="H258" s="11"/>
      <c r="I258" s="11" t="s">
        <v>276</v>
      </c>
      <c r="J258" s="13"/>
      <c r="K258" s="13"/>
    </row>
    <row r="259">
      <c r="A259" s="9">
        <v>101.0</v>
      </c>
      <c r="B259" s="14" t="s">
        <v>311</v>
      </c>
      <c r="C259" s="14"/>
      <c r="D259" s="9" t="s">
        <v>312</v>
      </c>
      <c r="E259" s="9" t="s">
        <v>313</v>
      </c>
      <c r="F259" s="11" t="s">
        <v>14</v>
      </c>
      <c r="G259" s="11" t="s">
        <v>30</v>
      </c>
      <c r="H259" s="11"/>
      <c r="I259" s="11" t="s">
        <v>189</v>
      </c>
      <c r="J259" s="12" t="s">
        <v>314</v>
      </c>
      <c r="K259" s="13"/>
    </row>
    <row r="260">
      <c r="A260" s="9"/>
      <c r="B260" s="14"/>
      <c r="C260" s="14"/>
      <c r="D260" s="9"/>
      <c r="E260" s="9"/>
      <c r="F260" s="11"/>
      <c r="G260" s="11" t="s">
        <v>43</v>
      </c>
      <c r="H260" s="11"/>
      <c r="I260" s="11" t="s">
        <v>276</v>
      </c>
      <c r="J260" s="12" t="s">
        <v>315</v>
      </c>
      <c r="K260" s="13"/>
    </row>
    <row r="261">
      <c r="A261" s="9">
        <v>102.0</v>
      </c>
      <c r="B261" s="14" t="s">
        <v>316</v>
      </c>
      <c r="C261" s="14"/>
      <c r="D261" s="9" t="s">
        <v>317</v>
      </c>
      <c r="E261" s="9" t="s">
        <v>313</v>
      </c>
      <c r="F261" s="11" t="s">
        <v>318</v>
      </c>
      <c r="G261" s="11" t="s">
        <v>176</v>
      </c>
      <c r="H261" s="11"/>
      <c r="I261" s="11" t="s">
        <v>189</v>
      </c>
      <c r="J261" s="12" t="s">
        <v>319</v>
      </c>
      <c r="K261" s="13"/>
    </row>
    <row r="262">
      <c r="A262" s="9"/>
      <c r="B262" s="14"/>
      <c r="C262" s="14"/>
      <c r="D262" s="9"/>
      <c r="E262" s="9"/>
      <c r="F262" s="11"/>
      <c r="G262" s="11"/>
      <c r="H262" s="11"/>
      <c r="I262" s="11" t="s">
        <v>320</v>
      </c>
      <c r="J262" s="12" t="s">
        <v>321</v>
      </c>
      <c r="K262" s="13"/>
    </row>
    <row r="263">
      <c r="A263" s="9"/>
      <c r="B263" s="14"/>
      <c r="C263" s="14"/>
      <c r="D263" s="9"/>
      <c r="E263" s="9"/>
      <c r="F263" s="11"/>
      <c r="G263" s="11"/>
      <c r="H263" s="11"/>
      <c r="I263" s="11" t="s">
        <v>22</v>
      </c>
      <c r="J263" s="12"/>
      <c r="K263" s="13"/>
    </row>
    <row r="264">
      <c r="A264" s="9"/>
      <c r="B264" s="14"/>
      <c r="C264" s="14"/>
      <c r="D264" s="9"/>
      <c r="E264" s="9"/>
      <c r="F264" s="11"/>
      <c r="G264" s="11"/>
      <c r="H264" s="11"/>
      <c r="I264" s="11" t="s">
        <v>322</v>
      </c>
      <c r="J264" s="12"/>
      <c r="K264" s="13"/>
    </row>
    <row r="265">
      <c r="A265" s="9">
        <v>103.0</v>
      </c>
      <c r="B265" s="8" t="s">
        <v>437</v>
      </c>
      <c r="C265" s="8" t="s">
        <v>438</v>
      </c>
      <c r="D265" s="9" t="s">
        <v>299</v>
      </c>
      <c r="E265" s="9" t="s">
        <v>313</v>
      </c>
      <c r="F265" s="11" t="s">
        <v>274</v>
      </c>
      <c r="G265" s="11" t="s">
        <v>30</v>
      </c>
      <c r="H265" s="11"/>
      <c r="I265" s="11" t="s">
        <v>273</v>
      </c>
      <c r="J265" s="13"/>
      <c r="K265" s="13"/>
    </row>
    <row r="266">
      <c r="A266" s="9"/>
      <c r="B266" s="8"/>
      <c r="C266" s="8"/>
      <c r="D266" s="9"/>
      <c r="E266" s="9"/>
      <c r="F266" s="11"/>
      <c r="G266" s="11" t="s">
        <v>25</v>
      </c>
      <c r="H266" s="11"/>
      <c r="I266" s="11" t="s">
        <v>22</v>
      </c>
      <c r="J266" s="13"/>
      <c r="K266" s="13"/>
    </row>
    <row r="267">
      <c r="A267" s="9">
        <v>104.0</v>
      </c>
      <c r="B267" s="14" t="s">
        <v>323</v>
      </c>
      <c r="C267" s="14"/>
      <c r="D267" s="9" t="s">
        <v>324</v>
      </c>
      <c r="E267" s="9" t="s">
        <v>325</v>
      </c>
      <c r="F267" s="11" t="s">
        <v>21</v>
      </c>
      <c r="G267" s="11" t="s">
        <v>82</v>
      </c>
      <c r="H267" s="11"/>
      <c r="I267" s="11" t="s">
        <v>273</v>
      </c>
      <c r="J267" s="12" t="s">
        <v>326</v>
      </c>
      <c r="K267" s="13"/>
    </row>
    <row r="268">
      <c r="A268" s="9"/>
      <c r="B268" s="14"/>
      <c r="C268" s="14"/>
      <c r="D268" s="10" t="s">
        <v>327</v>
      </c>
      <c r="E268" s="9"/>
      <c r="F268" s="11" t="s">
        <v>328</v>
      </c>
      <c r="G268" s="11"/>
      <c r="H268" s="11"/>
      <c r="I268" s="11" t="s">
        <v>189</v>
      </c>
      <c r="J268" s="12" t="s">
        <v>329</v>
      </c>
      <c r="K268" s="13"/>
    </row>
    <row r="269">
      <c r="A269" s="9"/>
      <c r="B269" s="14"/>
      <c r="C269" s="14"/>
      <c r="D269" s="10"/>
      <c r="E269" s="9"/>
      <c r="F269" s="11"/>
      <c r="G269" s="11"/>
      <c r="H269" s="11"/>
      <c r="I269" s="11" t="s">
        <v>22</v>
      </c>
      <c r="J269" s="13"/>
      <c r="K269" s="13"/>
    </row>
    <row r="270">
      <c r="A270" s="9"/>
      <c r="B270" s="14"/>
      <c r="C270" s="14"/>
      <c r="D270" s="10"/>
      <c r="E270" s="9"/>
      <c r="F270" s="11"/>
      <c r="G270" s="11"/>
      <c r="H270" s="11"/>
      <c r="I270" s="11" t="s">
        <v>302</v>
      </c>
      <c r="J270" s="13"/>
      <c r="K270" s="13"/>
    </row>
    <row r="271">
      <c r="A271" s="9">
        <v>105.0</v>
      </c>
      <c r="B271" s="8" t="s">
        <v>330</v>
      </c>
      <c r="C271" s="8" t="s">
        <v>331</v>
      </c>
      <c r="D271" s="9" t="s">
        <v>332</v>
      </c>
      <c r="E271" s="9" t="s">
        <v>325</v>
      </c>
      <c r="F271" s="11" t="s">
        <v>333</v>
      </c>
      <c r="G271" s="11" t="s">
        <v>25</v>
      </c>
      <c r="H271" s="11"/>
      <c r="I271" s="11" t="s">
        <v>273</v>
      </c>
      <c r="J271" s="15" t="s">
        <v>334</v>
      </c>
      <c r="K271" s="13"/>
    </row>
    <row r="272">
      <c r="A272" s="9"/>
      <c r="B272" s="8"/>
      <c r="C272" s="8"/>
      <c r="D272" s="9"/>
      <c r="E272" s="9"/>
      <c r="F272" s="11"/>
      <c r="G272" s="11"/>
      <c r="H272" s="11"/>
      <c r="I272" s="11" t="s">
        <v>189</v>
      </c>
      <c r="J272" s="15"/>
      <c r="K272" s="13"/>
    </row>
    <row r="273">
      <c r="A273" s="9"/>
      <c r="B273" s="8"/>
      <c r="C273" s="8"/>
      <c r="D273" s="9"/>
      <c r="E273" s="9"/>
      <c r="F273" s="11"/>
      <c r="G273" s="11"/>
      <c r="H273" s="11"/>
      <c r="I273" s="11" t="s">
        <v>143</v>
      </c>
      <c r="J273" s="15"/>
      <c r="K273" s="13"/>
    </row>
    <row r="274">
      <c r="A274" s="9">
        <v>106.0</v>
      </c>
      <c r="B274" s="8" t="s">
        <v>335</v>
      </c>
      <c r="C274" s="8" t="s">
        <v>336</v>
      </c>
      <c r="D274" s="9" t="s">
        <v>308</v>
      </c>
      <c r="E274" s="9" t="s">
        <v>325</v>
      </c>
      <c r="F274" s="11" t="s">
        <v>309</v>
      </c>
      <c r="G274" s="11" t="s">
        <v>30</v>
      </c>
      <c r="H274" s="11"/>
      <c r="I274" s="11" t="s">
        <v>273</v>
      </c>
      <c r="J274" s="11" t="s">
        <v>337</v>
      </c>
      <c r="K274" s="13"/>
    </row>
    <row r="275">
      <c r="A275" s="9"/>
      <c r="B275" s="8"/>
      <c r="C275" s="8"/>
      <c r="D275" s="9"/>
      <c r="E275" s="9"/>
      <c r="F275" s="11"/>
      <c r="G275" s="11"/>
      <c r="H275" s="11"/>
      <c r="I275" s="11" t="s">
        <v>276</v>
      </c>
      <c r="J275" s="11"/>
      <c r="K275" s="13"/>
    </row>
    <row r="276">
      <c r="A276" s="9">
        <v>107.0</v>
      </c>
      <c r="B276" s="14" t="s">
        <v>338</v>
      </c>
      <c r="C276" s="14"/>
      <c r="D276" s="9" t="s">
        <v>299</v>
      </c>
      <c r="E276" s="9" t="s">
        <v>325</v>
      </c>
      <c r="F276" s="11" t="s">
        <v>274</v>
      </c>
      <c r="G276" s="11" t="s">
        <v>25</v>
      </c>
      <c r="H276" s="11"/>
      <c r="I276" s="11" t="s">
        <v>269</v>
      </c>
      <c r="J276" s="12" t="s">
        <v>339</v>
      </c>
      <c r="K276" s="13"/>
    </row>
    <row r="277">
      <c r="A277" s="9"/>
      <c r="B277" s="14"/>
      <c r="C277" s="14"/>
      <c r="D277" s="9"/>
      <c r="E277" s="9"/>
      <c r="G277" s="11" t="s">
        <v>176</v>
      </c>
      <c r="H277" s="11"/>
      <c r="I277" s="11" t="s">
        <v>22</v>
      </c>
      <c r="J277" s="13"/>
      <c r="K277" s="13"/>
    </row>
    <row r="278">
      <c r="A278" s="9"/>
      <c r="B278" s="14"/>
      <c r="C278" s="14"/>
      <c r="D278" s="9"/>
      <c r="E278" s="9"/>
      <c r="G278" s="11" t="s">
        <v>43</v>
      </c>
      <c r="H278" s="11"/>
      <c r="I278" s="11" t="s">
        <v>189</v>
      </c>
      <c r="J278" s="13"/>
      <c r="K278" s="13"/>
    </row>
    <row r="279">
      <c r="A279" s="9">
        <v>108.0</v>
      </c>
      <c r="B279" s="14" t="s">
        <v>340</v>
      </c>
      <c r="C279" s="14"/>
      <c r="D279" s="9" t="s">
        <v>341</v>
      </c>
      <c r="E279" s="9" t="s">
        <v>325</v>
      </c>
      <c r="F279" s="11" t="s">
        <v>107</v>
      </c>
      <c r="G279" s="11" t="s">
        <v>30</v>
      </c>
      <c r="H279" s="11"/>
      <c r="I279" s="11" t="s">
        <v>273</v>
      </c>
      <c r="J279" s="12" t="s">
        <v>342</v>
      </c>
      <c r="K279" s="13"/>
    </row>
    <row r="280">
      <c r="A280" s="9"/>
      <c r="B280" s="14"/>
      <c r="C280" s="14"/>
      <c r="D280" s="9"/>
      <c r="E280" s="9"/>
      <c r="F280" s="11"/>
      <c r="G280" s="11"/>
      <c r="H280" s="11"/>
      <c r="I280" s="11" t="s">
        <v>189</v>
      </c>
      <c r="J280" s="12"/>
      <c r="K280" s="13"/>
    </row>
    <row r="281">
      <c r="A281" s="9"/>
      <c r="B281" s="14"/>
      <c r="C281" s="14"/>
      <c r="D281" s="9"/>
      <c r="E281" s="9"/>
      <c r="F281" s="11"/>
      <c r="G281" s="11"/>
      <c r="H281" s="11"/>
      <c r="I281" s="11" t="s">
        <v>143</v>
      </c>
      <c r="J281" s="12"/>
      <c r="K281" s="13"/>
    </row>
    <row r="282">
      <c r="A282" s="9">
        <v>109.0</v>
      </c>
      <c r="B282" s="14" t="s">
        <v>343</v>
      </c>
      <c r="C282" s="14"/>
      <c r="D282" s="9" t="s">
        <v>344</v>
      </c>
      <c r="E282" s="9" t="s">
        <v>345</v>
      </c>
      <c r="F282" s="11" t="s">
        <v>107</v>
      </c>
      <c r="G282" s="11" t="s">
        <v>25</v>
      </c>
      <c r="H282" s="11"/>
      <c r="I282" s="11" t="s">
        <v>273</v>
      </c>
      <c r="J282" s="15" t="s">
        <v>346</v>
      </c>
      <c r="K282" s="13"/>
    </row>
    <row r="283">
      <c r="A283" s="9"/>
      <c r="B283" s="14"/>
      <c r="C283" s="14"/>
      <c r="D283" s="9"/>
      <c r="E283" s="9"/>
      <c r="F283" s="11"/>
      <c r="G283" s="11" t="s">
        <v>30</v>
      </c>
      <c r="H283" s="11"/>
      <c r="I283" s="11" t="s">
        <v>189</v>
      </c>
      <c r="K283" s="13"/>
    </row>
    <row r="284">
      <c r="A284" s="9"/>
      <c r="B284" s="14"/>
      <c r="C284" s="14"/>
      <c r="D284" s="9"/>
      <c r="E284" s="9"/>
      <c r="F284" s="11"/>
      <c r="G284" s="11" t="s">
        <v>43</v>
      </c>
      <c r="H284" s="11"/>
      <c r="I284" s="11" t="s">
        <v>143</v>
      </c>
      <c r="J284" s="13"/>
      <c r="K284" s="13"/>
    </row>
    <row r="285">
      <c r="A285" s="9">
        <v>110.0</v>
      </c>
      <c r="B285" s="14" t="s">
        <v>347</v>
      </c>
      <c r="C285" s="14"/>
      <c r="D285" s="9" t="s">
        <v>299</v>
      </c>
      <c r="E285" s="9" t="s">
        <v>345</v>
      </c>
      <c r="F285" s="11" t="s">
        <v>274</v>
      </c>
      <c r="G285" s="11" t="s">
        <v>25</v>
      </c>
      <c r="H285" s="11"/>
      <c r="I285" s="11" t="s">
        <v>269</v>
      </c>
      <c r="J285" s="12" t="s">
        <v>339</v>
      </c>
      <c r="K285" s="13"/>
    </row>
    <row r="286">
      <c r="A286" s="9"/>
      <c r="B286" s="14"/>
      <c r="C286" s="14"/>
      <c r="D286" s="9"/>
      <c r="E286" s="9"/>
      <c r="F286" s="11"/>
      <c r="G286" s="11"/>
      <c r="H286" s="11"/>
      <c r="I286" s="11" t="s">
        <v>22</v>
      </c>
      <c r="J286" s="12"/>
      <c r="K286" s="13"/>
    </row>
    <row r="287">
      <c r="A287" s="9"/>
      <c r="B287" s="14"/>
      <c r="C287" s="14"/>
      <c r="D287" s="9"/>
      <c r="E287" s="9"/>
      <c r="F287" s="11"/>
      <c r="G287" s="11"/>
      <c r="H287" s="11"/>
      <c r="I287" s="11" t="s">
        <v>189</v>
      </c>
      <c r="J287" s="12"/>
      <c r="K287" s="13"/>
    </row>
    <row r="288">
      <c r="A288" s="9">
        <v>111.0</v>
      </c>
      <c r="B288" s="14" t="s">
        <v>348</v>
      </c>
      <c r="C288" s="14"/>
      <c r="D288" s="9" t="s">
        <v>267</v>
      </c>
      <c r="E288" s="9" t="s">
        <v>345</v>
      </c>
      <c r="F288" s="11" t="s">
        <v>21</v>
      </c>
      <c r="G288" s="11" t="s">
        <v>108</v>
      </c>
      <c r="H288" s="11"/>
      <c r="I288" s="11" t="s">
        <v>273</v>
      </c>
      <c r="J288" s="11" t="s">
        <v>349</v>
      </c>
      <c r="K288" s="13"/>
    </row>
    <row r="289">
      <c r="A289" s="9"/>
      <c r="B289" s="14"/>
      <c r="C289" s="14"/>
      <c r="D289" s="9"/>
      <c r="E289" s="9"/>
      <c r="F289" s="11"/>
      <c r="G289" s="11" t="s">
        <v>79</v>
      </c>
      <c r="H289" s="11"/>
      <c r="I289" s="11" t="s">
        <v>189</v>
      </c>
      <c r="J289" s="11" t="s">
        <v>350</v>
      </c>
      <c r="K289" s="13"/>
    </row>
    <row r="290">
      <c r="A290" s="9">
        <v>112.0</v>
      </c>
      <c r="B290" s="14" t="s">
        <v>439</v>
      </c>
      <c r="C290" s="14"/>
      <c r="D290" s="9" t="s">
        <v>299</v>
      </c>
      <c r="E290" s="9" t="s">
        <v>352</v>
      </c>
      <c r="F290" s="11" t="s">
        <v>274</v>
      </c>
      <c r="G290" s="11" t="s">
        <v>148</v>
      </c>
      <c r="H290" s="11" t="s">
        <v>440</v>
      </c>
      <c r="I290" s="11" t="s">
        <v>189</v>
      </c>
      <c r="J290" s="12" t="s">
        <v>441</v>
      </c>
      <c r="K290" s="13"/>
    </row>
    <row r="291">
      <c r="A291" s="9"/>
      <c r="B291" s="14"/>
      <c r="C291" s="14"/>
      <c r="D291" s="11" t="s">
        <v>442</v>
      </c>
      <c r="E291" s="9"/>
      <c r="G291" s="11" t="s">
        <v>30</v>
      </c>
      <c r="H291" s="11"/>
      <c r="J291" s="12" t="s">
        <v>443</v>
      </c>
      <c r="K291" s="13"/>
    </row>
    <row r="292">
      <c r="A292" s="9"/>
      <c r="B292" s="14"/>
      <c r="C292" s="14"/>
      <c r="D292" s="11"/>
      <c r="E292" s="9"/>
      <c r="G292" s="11" t="s">
        <v>24</v>
      </c>
      <c r="H292" s="11"/>
      <c r="J292" s="12" t="s">
        <v>444</v>
      </c>
      <c r="K292" s="13"/>
    </row>
    <row r="293">
      <c r="A293" s="9">
        <v>113.0</v>
      </c>
      <c r="B293" s="14" t="s">
        <v>351</v>
      </c>
      <c r="C293" s="14"/>
      <c r="D293" s="15" t="s">
        <v>308</v>
      </c>
      <c r="E293" s="9" t="s">
        <v>352</v>
      </c>
      <c r="F293" s="11" t="s">
        <v>181</v>
      </c>
      <c r="G293" s="11" t="s">
        <v>30</v>
      </c>
      <c r="H293" s="11"/>
      <c r="I293" s="11" t="s">
        <v>273</v>
      </c>
      <c r="J293" s="12" t="s">
        <v>353</v>
      </c>
      <c r="K293" s="13"/>
    </row>
    <row r="294">
      <c r="A294" s="9"/>
      <c r="B294" s="14"/>
      <c r="C294" s="14"/>
      <c r="D294" s="15"/>
      <c r="E294" s="9"/>
      <c r="F294" s="11" t="s">
        <v>309</v>
      </c>
      <c r="G294" s="11"/>
      <c r="H294" s="11"/>
      <c r="I294" s="11" t="s">
        <v>189</v>
      </c>
      <c r="J294" s="13"/>
      <c r="K294" s="13"/>
    </row>
    <row r="295">
      <c r="A295" s="9"/>
      <c r="B295" s="14"/>
      <c r="C295" s="14"/>
      <c r="D295" s="15"/>
      <c r="E295" s="9"/>
      <c r="F295" s="11"/>
      <c r="G295" s="11"/>
      <c r="H295" s="11"/>
      <c r="I295" s="11" t="s">
        <v>276</v>
      </c>
      <c r="J295" s="13"/>
      <c r="K295" s="13"/>
    </row>
    <row r="296">
      <c r="A296" s="9">
        <v>114.0</v>
      </c>
      <c r="B296" s="8" t="s">
        <v>354</v>
      </c>
      <c r="C296" s="8" t="s">
        <v>355</v>
      </c>
      <c r="D296" s="9" t="s">
        <v>308</v>
      </c>
      <c r="E296" s="9" t="s">
        <v>352</v>
      </c>
      <c r="F296" s="11" t="s">
        <v>309</v>
      </c>
      <c r="G296" s="11" t="s">
        <v>25</v>
      </c>
      <c r="H296" s="11"/>
      <c r="I296" s="11" t="s">
        <v>273</v>
      </c>
      <c r="J296" s="12" t="s">
        <v>310</v>
      </c>
      <c r="K296" s="13"/>
    </row>
    <row r="297">
      <c r="A297" s="9"/>
      <c r="B297" s="8"/>
      <c r="C297" s="8"/>
      <c r="D297" s="9"/>
      <c r="E297" s="9"/>
      <c r="F297" s="11"/>
      <c r="G297" s="11" t="s">
        <v>30</v>
      </c>
      <c r="H297" s="11"/>
      <c r="I297" s="11" t="s">
        <v>189</v>
      </c>
      <c r="J297" s="13"/>
      <c r="K297" s="13"/>
    </row>
    <row r="298">
      <c r="A298" s="9"/>
      <c r="B298" s="8"/>
      <c r="C298" s="8"/>
      <c r="D298" s="9"/>
      <c r="E298" s="9"/>
      <c r="F298" s="11"/>
      <c r="G298" s="11"/>
      <c r="H298" s="11"/>
      <c r="I298" s="11" t="s">
        <v>276</v>
      </c>
      <c r="J298" s="13"/>
      <c r="K298" s="13"/>
    </row>
    <row r="299">
      <c r="A299" s="9">
        <v>115.0</v>
      </c>
      <c r="B299" s="14" t="s">
        <v>356</v>
      </c>
      <c r="C299" s="14"/>
      <c r="D299" s="9" t="s">
        <v>357</v>
      </c>
      <c r="E299" s="9" t="s">
        <v>352</v>
      </c>
      <c r="F299" s="11" t="s">
        <v>358</v>
      </c>
      <c r="G299" s="11" t="s">
        <v>15</v>
      </c>
      <c r="H299" s="11"/>
      <c r="J299" s="13"/>
    </row>
    <row r="300">
      <c r="A300" s="9">
        <v>116.0</v>
      </c>
      <c r="B300" s="8" t="s">
        <v>359</v>
      </c>
      <c r="C300" s="8" t="s">
        <v>360</v>
      </c>
      <c r="D300" s="9" t="s">
        <v>361</v>
      </c>
      <c r="E300" s="9" t="s">
        <v>362</v>
      </c>
      <c r="F300" s="11" t="s">
        <v>14</v>
      </c>
      <c r="G300" s="11" t="s">
        <v>25</v>
      </c>
      <c r="H300" s="11"/>
      <c r="I300" s="11" t="s">
        <v>189</v>
      </c>
      <c r="J300" s="15" t="s">
        <v>363</v>
      </c>
      <c r="K300" s="11">
        <v>81000.0</v>
      </c>
      <c r="L300" s="12">
        <v>4692.0</v>
      </c>
    </row>
    <row r="301">
      <c r="A301" s="9"/>
      <c r="B301" s="8"/>
      <c r="C301" s="8"/>
      <c r="D301" s="9"/>
      <c r="E301" s="9"/>
      <c r="F301" s="11"/>
      <c r="G301" s="11" t="s">
        <v>30</v>
      </c>
      <c r="H301" s="11"/>
      <c r="I301" s="11" t="s">
        <v>276</v>
      </c>
      <c r="J301" s="15" t="s">
        <v>364</v>
      </c>
      <c r="K301" s="13"/>
    </row>
    <row r="302">
      <c r="A302" s="9">
        <v>117.0</v>
      </c>
      <c r="B302" s="14" t="s">
        <v>365</v>
      </c>
      <c r="C302" s="14"/>
      <c r="D302" s="9" t="s">
        <v>366</v>
      </c>
      <c r="E302" s="9" t="s">
        <v>362</v>
      </c>
      <c r="F302" s="11" t="s">
        <v>274</v>
      </c>
      <c r="G302" s="11" t="s">
        <v>30</v>
      </c>
      <c r="H302" s="11"/>
      <c r="I302" s="11" t="s">
        <v>189</v>
      </c>
      <c r="J302" s="12" t="s">
        <v>367</v>
      </c>
      <c r="K302" s="13"/>
    </row>
    <row r="303">
      <c r="A303" s="9"/>
      <c r="B303" s="14"/>
      <c r="C303" s="14"/>
      <c r="D303" s="9"/>
      <c r="E303" s="9"/>
      <c r="I303" s="11" t="s">
        <v>320</v>
      </c>
      <c r="J303" s="12" t="s">
        <v>368</v>
      </c>
      <c r="K303" s="13"/>
    </row>
    <row r="304">
      <c r="A304" s="9"/>
      <c r="B304" s="14"/>
      <c r="C304" s="14"/>
      <c r="D304" s="9"/>
      <c r="E304" s="9"/>
      <c r="I304" s="11" t="s">
        <v>22</v>
      </c>
      <c r="J304" s="12"/>
      <c r="K304" s="13"/>
    </row>
    <row r="305">
      <c r="A305" s="9"/>
      <c r="B305" s="14"/>
      <c r="C305" s="14"/>
      <c r="D305" s="9"/>
      <c r="E305" s="9"/>
      <c r="I305" s="11" t="s">
        <v>322</v>
      </c>
      <c r="J305" s="12"/>
      <c r="K305" s="13"/>
    </row>
    <row r="306">
      <c r="A306" s="9">
        <v>118.0</v>
      </c>
      <c r="B306" s="14" t="s">
        <v>445</v>
      </c>
      <c r="C306" s="14"/>
      <c r="D306" s="9" t="s">
        <v>374</v>
      </c>
      <c r="E306" s="9" t="s">
        <v>371</v>
      </c>
      <c r="F306" s="11" t="s">
        <v>21</v>
      </c>
      <c r="G306" s="11" t="s">
        <v>30</v>
      </c>
      <c r="H306" s="11" t="s">
        <v>446</v>
      </c>
      <c r="I306" s="11" t="s">
        <v>189</v>
      </c>
      <c r="J306" s="12" t="s">
        <v>447</v>
      </c>
      <c r="K306" s="13"/>
    </row>
    <row r="307">
      <c r="A307" s="9"/>
      <c r="B307" s="14"/>
      <c r="C307" s="14"/>
      <c r="D307" s="10" t="s">
        <v>448</v>
      </c>
      <c r="E307" s="9"/>
      <c r="G307" s="11" t="s">
        <v>43</v>
      </c>
      <c r="H307" s="11"/>
      <c r="I307" s="11" t="s">
        <v>143</v>
      </c>
      <c r="J307" s="13"/>
    </row>
    <row r="308">
      <c r="A308" s="9">
        <v>119.0</v>
      </c>
      <c r="B308" s="14" t="s">
        <v>369</v>
      </c>
      <c r="C308" s="14"/>
      <c r="D308" s="9" t="s">
        <v>370</v>
      </c>
      <c r="E308" s="9" t="s">
        <v>371</v>
      </c>
      <c r="F308" s="11" t="s">
        <v>21</v>
      </c>
      <c r="G308" s="11" t="s">
        <v>182</v>
      </c>
      <c r="H308" s="11"/>
      <c r="I308" s="11" t="s">
        <v>269</v>
      </c>
      <c r="J308" s="12" t="s">
        <v>372</v>
      </c>
      <c r="K308" s="11">
        <v>115000.0</v>
      </c>
      <c r="L308" s="12">
        <v>108692.0</v>
      </c>
    </row>
    <row r="309">
      <c r="A309" s="9"/>
      <c r="B309" s="14"/>
      <c r="C309" s="14"/>
      <c r="D309" s="9"/>
      <c r="E309" s="9"/>
      <c r="G309" s="11" t="s">
        <v>30</v>
      </c>
      <c r="H309" s="11"/>
      <c r="I309" s="11" t="s">
        <v>189</v>
      </c>
      <c r="J309" s="13"/>
      <c r="K309" s="13"/>
    </row>
    <row r="310">
      <c r="A310" s="9"/>
      <c r="B310" s="14"/>
      <c r="C310" s="14"/>
      <c r="D310" s="9"/>
      <c r="E310" s="9"/>
      <c r="G310" s="11"/>
      <c r="H310" s="11"/>
      <c r="I310" s="11" t="s">
        <v>22</v>
      </c>
      <c r="J310" s="13"/>
      <c r="K310" s="13"/>
    </row>
    <row r="311">
      <c r="A311" s="9">
        <v>120.0</v>
      </c>
      <c r="B311" s="14" t="s">
        <v>373</v>
      </c>
      <c r="C311" s="14"/>
      <c r="D311" s="9" t="s">
        <v>374</v>
      </c>
      <c r="E311" s="9" t="s">
        <v>375</v>
      </c>
      <c r="F311" s="11" t="s">
        <v>21</v>
      </c>
      <c r="G311" s="11" t="s">
        <v>148</v>
      </c>
      <c r="H311" s="11" t="s">
        <v>376</v>
      </c>
      <c r="I311" s="11" t="s">
        <v>189</v>
      </c>
      <c r="J311" s="12" t="s">
        <v>377</v>
      </c>
      <c r="K311" s="13"/>
    </row>
    <row r="312">
      <c r="A312" s="9"/>
      <c r="B312" s="14"/>
      <c r="C312" s="14"/>
      <c r="D312" s="9"/>
      <c r="E312" s="9"/>
      <c r="G312" s="11" t="s">
        <v>30</v>
      </c>
      <c r="H312" s="11" t="s">
        <v>378</v>
      </c>
      <c r="I312" s="11" t="s">
        <v>302</v>
      </c>
      <c r="J312" s="12" t="s">
        <v>379</v>
      </c>
      <c r="K312" s="13"/>
    </row>
    <row r="313">
      <c r="A313" s="9">
        <v>121.0</v>
      </c>
      <c r="B313" s="8" t="s">
        <v>449</v>
      </c>
      <c r="C313" s="8" t="s">
        <v>450</v>
      </c>
      <c r="D313" s="9" t="s">
        <v>451</v>
      </c>
      <c r="E313" s="9" t="s">
        <v>375</v>
      </c>
      <c r="F313" s="11" t="s">
        <v>90</v>
      </c>
      <c r="G313" s="11" t="s">
        <v>108</v>
      </c>
      <c r="I313" s="11" t="s">
        <v>269</v>
      </c>
      <c r="J313" s="13"/>
      <c r="K313" s="13"/>
    </row>
    <row r="314">
      <c r="A314" s="9"/>
      <c r="B314" s="8"/>
      <c r="C314" s="8"/>
      <c r="D314" s="9"/>
      <c r="E314" s="9"/>
      <c r="G314" s="11" t="s">
        <v>30</v>
      </c>
      <c r="J314" s="13"/>
      <c r="K314" s="13"/>
    </row>
    <row r="315">
      <c r="A315" s="9"/>
      <c r="B315" s="8"/>
      <c r="C315" s="8"/>
      <c r="D315" s="9"/>
      <c r="E315" s="9"/>
      <c r="G315" s="11" t="s">
        <v>15</v>
      </c>
      <c r="J315" s="13"/>
      <c r="K315" s="13"/>
    </row>
    <row r="316">
      <c r="A316" s="9">
        <v>122.0</v>
      </c>
      <c r="B316" s="8" t="s">
        <v>452</v>
      </c>
      <c r="C316" s="14"/>
      <c r="D316" s="9" t="s">
        <v>366</v>
      </c>
      <c r="E316" s="9" t="s">
        <v>375</v>
      </c>
      <c r="F316" s="11" t="s">
        <v>274</v>
      </c>
      <c r="G316" s="11" t="s">
        <v>30</v>
      </c>
      <c r="I316" s="11" t="s">
        <v>269</v>
      </c>
      <c r="J316" s="11" t="s">
        <v>453</v>
      </c>
      <c r="K316" s="13"/>
    </row>
    <row r="317">
      <c r="A317" s="9"/>
      <c r="B317" s="8"/>
      <c r="C317" s="14"/>
      <c r="D317" s="9"/>
      <c r="E317" s="9"/>
      <c r="F317" s="11"/>
      <c r="G317" s="11"/>
      <c r="I317" s="11" t="s">
        <v>22</v>
      </c>
      <c r="J317" s="11" t="s">
        <v>400</v>
      </c>
      <c r="K317" s="13"/>
    </row>
    <row r="318">
      <c r="A318" s="9"/>
      <c r="B318" s="8"/>
      <c r="C318" s="14"/>
      <c r="D318" s="9"/>
      <c r="E318" s="9"/>
      <c r="F318" s="11"/>
      <c r="G318" s="11"/>
      <c r="I318" s="11"/>
      <c r="J318" s="11" t="s">
        <v>189</v>
      </c>
      <c r="K318" s="13"/>
    </row>
    <row r="319">
      <c r="A319" s="9">
        <v>123.0</v>
      </c>
      <c r="B319" s="14" t="s">
        <v>380</v>
      </c>
      <c r="C319" s="14"/>
      <c r="D319" s="9" t="s">
        <v>344</v>
      </c>
      <c r="E319" s="9" t="s">
        <v>375</v>
      </c>
      <c r="F319" s="11" t="s">
        <v>107</v>
      </c>
      <c r="G319" s="11" t="s">
        <v>30</v>
      </c>
      <c r="I319" s="11" t="s">
        <v>273</v>
      </c>
      <c r="J319" s="12" t="s">
        <v>346</v>
      </c>
      <c r="L319" s="12">
        <v>4168.0</v>
      </c>
    </row>
    <row r="320">
      <c r="A320" s="9"/>
      <c r="B320" s="14"/>
      <c r="C320" s="14"/>
      <c r="D320" s="9"/>
      <c r="E320" s="9"/>
      <c r="F320" s="11"/>
      <c r="G320" s="11"/>
      <c r="I320" s="11" t="s">
        <v>189</v>
      </c>
      <c r="J320" s="12"/>
      <c r="K320" s="12"/>
    </row>
    <row r="321">
      <c r="A321" s="9"/>
      <c r="B321" s="14"/>
      <c r="C321" s="14"/>
      <c r="D321" s="9"/>
      <c r="E321" s="9"/>
      <c r="F321" s="11"/>
      <c r="G321" s="11"/>
      <c r="I321" s="11" t="s">
        <v>143</v>
      </c>
      <c r="J321" s="12"/>
      <c r="K321" s="12"/>
    </row>
    <row r="322">
      <c r="A322" s="9">
        <v>124.0</v>
      </c>
      <c r="B322" s="14" t="s">
        <v>381</v>
      </c>
      <c r="C322" s="14"/>
      <c r="D322" s="9" t="s">
        <v>382</v>
      </c>
      <c r="E322" s="9" t="s">
        <v>375</v>
      </c>
      <c r="F322" s="11" t="s">
        <v>21</v>
      </c>
      <c r="G322" s="11" t="s">
        <v>25</v>
      </c>
      <c r="I322" s="11" t="s">
        <v>269</v>
      </c>
      <c r="J322" s="12" t="s">
        <v>383</v>
      </c>
      <c r="K322" s="11">
        <v>4000000.0</v>
      </c>
      <c r="L322" s="12">
        <v>308.0</v>
      </c>
    </row>
    <row r="323">
      <c r="A323" s="9"/>
      <c r="B323" s="14"/>
      <c r="C323" s="14"/>
      <c r="D323" s="9"/>
      <c r="E323" s="9"/>
      <c r="G323" s="11" t="s">
        <v>43</v>
      </c>
      <c r="I323" s="11" t="s">
        <v>189</v>
      </c>
      <c r="J323" s="12" t="s">
        <v>384</v>
      </c>
      <c r="K323" s="13"/>
    </row>
    <row r="324">
      <c r="A324" s="9"/>
      <c r="B324" s="14"/>
      <c r="C324" s="14"/>
      <c r="D324" s="9"/>
      <c r="E324" s="9"/>
      <c r="G324" s="11"/>
      <c r="I324" s="11" t="s">
        <v>302</v>
      </c>
      <c r="J324" s="12" t="s">
        <v>385</v>
      </c>
      <c r="K324" s="13"/>
    </row>
    <row r="325">
      <c r="A325" s="9"/>
      <c r="B325" s="14"/>
      <c r="C325" s="14"/>
      <c r="D325" s="9"/>
      <c r="E325" s="9"/>
      <c r="G325" s="11"/>
      <c r="I325" s="11" t="s">
        <v>22</v>
      </c>
      <c r="J325" s="12"/>
      <c r="K325" s="13"/>
    </row>
    <row r="326">
      <c r="A326" s="9">
        <v>125.0</v>
      </c>
      <c r="B326" s="14" t="s">
        <v>454</v>
      </c>
      <c r="C326" s="14"/>
      <c r="D326" s="10" t="s">
        <v>455</v>
      </c>
      <c r="E326" s="9" t="s">
        <v>375</v>
      </c>
      <c r="F326" s="11" t="s">
        <v>21</v>
      </c>
      <c r="G326" s="11" t="s">
        <v>15</v>
      </c>
      <c r="I326" s="11" t="s">
        <v>273</v>
      </c>
      <c r="J326" s="12" t="s">
        <v>456</v>
      </c>
      <c r="K326" s="13"/>
    </row>
    <row r="327">
      <c r="A327" s="9"/>
      <c r="B327" s="14"/>
      <c r="C327" s="14"/>
      <c r="D327" s="10" t="s">
        <v>457</v>
      </c>
      <c r="E327" s="9"/>
      <c r="I327" s="11" t="s">
        <v>189</v>
      </c>
      <c r="J327" s="13"/>
      <c r="K327" s="13"/>
    </row>
    <row r="328">
      <c r="A328" s="9">
        <v>126.0</v>
      </c>
      <c r="B328" s="14" t="s">
        <v>386</v>
      </c>
      <c r="C328" s="14"/>
      <c r="D328" s="9" t="s">
        <v>382</v>
      </c>
      <c r="E328" s="9" t="s">
        <v>387</v>
      </c>
      <c r="F328" s="11" t="s">
        <v>21</v>
      </c>
      <c r="G328" s="11" t="s">
        <v>25</v>
      </c>
      <c r="I328" s="11" t="s">
        <v>269</v>
      </c>
      <c r="J328" s="12" t="s">
        <v>388</v>
      </c>
      <c r="K328" s="13"/>
    </row>
    <row r="329">
      <c r="A329" s="9"/>
      <c r="B329" s="14"/>
      <c r="C329" s="14"/>
      <c r="D329" s="9"/>
      <c r="E329" s="9"/>
      <c r="G329" s="11" t="s">
        <v>30</v>
      </c>
      <c r="I329" s="11" t="s">
        <v>189</v>
      </c>
      <c r="J329" s="13"/>
      <c r="K329" s="13"/>
    </row>
    <row r="330">
      <c r="A330" s="9"/>
      <c r="B330" s="14"/>
      <c r="C330" s="14"/>
      <c r="D330" s="9"/>
      <c r="E330" s="9"/>
      <c r="G330" s="11" t="s">
        <v>43</v>
      </c>
      <c r="I330" s="11" t="s">
        <v>302</v>
      </c>
      <c r="J330" s="13"/>
      <c r="K330" s="13"/>
    </row>
    <row r="331">
      <c r="A331" s="9"/>
      <c r="B331" s="14"/>
      <c r="C331" s="14"/>
      <c r="D331" s="9"/>
      <c r="E331" s="9"/>
      <c r="G331" s="11"/>
      <c r="I331" s="11" t="s">
        <v>22</v>
      </c>
      <c r="J331" s="13"/>
      <c r="K331" s="13"/>
    </row>
    <row r="332">
      <c r="A332" s="9">
        <v>127.0</v>
      </c>
      <c r="B332" s="14" t="s">
        <v>389</v>
      </c>
      <c r="C332" s="14"/>
      <c r="D332" s="9" t="s">
        <v>390</v>
      </c>
      <c r="E332" s="9" t="s">
        <v>387</v>
      </c>
      <c r="F332" s="11" t="s">
        <v>219</v>
      </c>
      <c r="G332" s="11" t="s">
        <v>30</v>
      </c>
      <c r="I332" s="11" t="s">
        <v>189</v>
      </c>
      <c r="J332" s="12" t="s">
        <v>391</v>
      </c>
      <c r="K332" s="13"/>
    </row>
    <row r="333">
      <c r="A333" s="9"/>
      <c r="B333" s="14"/>
      <c r="C333" s="14"/>
      <c r="D333" s="9"/>
      <c r="E333" s="9"/>
      <c r="F333" s="11"/>
      <c r="G333" s="11"/>
      <c r="I333" s="11" t="s">
        <v>26</v>
      </c>
      <c r="J333" s="12"/>
      <c r="K333" s="13"/>
    </row>
    <row r="334">
      <c r="A334" s="9">
        <v>128.0</v>
      </c>
      <c r="B334" s="14" t="s">
        <v>392</v>
      </c>
      <c r="C334" s="14"/>
      <c r="D334" s="9" t="s">
        <v>393</v>
      </c>
      <c r="E334" s="9" t="s">
        <v>387</v>
      </c>
      <c r="F334" s="11" t="s">
        <v>394</v>
      </c>
      <c r="G334" s="11" t="s">
        <v>30</v>
      </c>
      <c r="I334" s="11" t="s">
        <v>189</v>
      </c>
      <c r="J334" s="12" t="s">
        <v>395</v>
      </c>
      <c r="L334" s="12">
        <v>263.0</v>
      </c>
    </row>
    <row r="335">
      <c r="A335" s="9"/>
      <c r="B335" s="14"/>
      <c r="C335" s="14"/>
      <c r="D335" s="9"/>
      <c r="E335" s="9"/>
      <c r="F335" s="11" t="s">
        <v>14</v>
      </c>
      <c r="G335" s="11"/>
      <c r="I335" s="11" t="s">
        <v>143</v>
      </c>
      <c r="J335" s="13"/>
      <c r="K335" s="13"/>
    </row>
    <row r="336">
      <c r="A336" s="9">
        <v>129.0</v>
      </c>
      <c r="B336" s="14" t="s">
        <v>396</v>
      </c>
      <c r="C336" s="14"/>
      <c r="D336" s="9" t="s">
        <v>299</v>
      </c>
      <c r="E336" s="9" t="s">
        <v>387</v>
      </c>
      <c r="F336" s="11" t="s">
        <v>274</v>
      </c>
      <c r="G336" s="11" t="s">
        <v>25</v>
      </c>
      <c r="I336" s="11" t="s">
        <v>189</v>
      </c>
      <c r="J336" s="13"/>
      <c r="L336" s="12">
        <v>466215.0</v>
      </c>
    </row>
    <row r="337">
      <c r="A337" s="9"/>
      <c r="B337" s="14"/>
      <c r="C337" s="14"/>
      <c r="D337" s="9"/>
      <c r="E337" s="9"/>
      <c r="G337" s="11" t="s">
        <v>30</v>
      </c>
      <c r="I337" s="11" t="s">
        <v>302</v>
      </c>
      <c r="J337" s="13"/>
      <c r="K337" s="13"/>
    </row>
    <row r="338">
      <c r="A338" s="9">
        <v>130.0</v>
      </c>
      <c r="B338" s="14" t="s">
        <v>458</v>
      </c>
      <c r="C338" s="14"/>
      <c r="D338" s="9" t="s">
        <v>459</v>
      </c>
      <c r="E338" s="9" t="s">
        <v>387</v>
      </c>
      <c r="F338" s="11" t="s">
        <v>90</v>
      </c>
      <c r="G338" s="11" t="s">
        <v>108</v>
      </c>
      <c r="I338" s="11" t="s">
        <v>273</v>
      </c>
      <c r="J338" s="12" t="s">
        <v>460</v>
      </c>
      <c r="K338" s="13"/>
    </row>
    <row r="339">
      <c r="A339" s="9">
        <v>131.0</v>
      </c>
      <c r="B339" s="14" t="s">
        <v>397</v>
      </c>
      <c r="C339" s="14"/>
      <c r="D339" s="9" t="s">
        <v>366</v>
      </c>
      <c r="E339" s="9" t="s">
        <v>398</v>
      </c>
      <c r="F339" s="11" t="s">
        <v>274</v>
      </c>
      <c r="G339" s="11" t="s">
        <v>30</v>
      </c>
      <c r="I339" s="11" t="s">
        <v>189</v>
      </c>
      <c r="J339" s="12" t="s">
        <v>399</v>
      </c>
      <c r="K339" s="13"/>
    </row>
    <row r="340">
      <c r="A340" s="9"/>
      <c r="B340" s="14"/>
      <c r="C340" s="14"/>
      <c r="D340" s="9"/>
      <c r="E340" s="9"/>
      <c r="F340" s="11"/>
      <c r="G340" s="11"/>
      <c r="J340" s="12" t="s">
        <v>400</v>
      </c>
      <c r="K340" s="13"/>
    </row>
    <row r="341">
      <c r="A341" s="9">
        <v>132.0</v>
      </c>
      <c r="B341" s="14" t="s">
        <v>461</v>
      </c>
      <c r="C341" s="14"/>
      <c r="D341" s="9" t="s">
        <v>462</v>
      </c>
      <c r="E341" s="9" t="s">
        <v>463</v>
      </c>
      <c r="J341" s="13"/>
      <c r="K341" s="13"/>
    </row>
    <row r="342">
      <c r="A342" s="9">
        <v>133.0</v>
      </c>
      <c r="B342" s="14" t="s">
        <v>464</v>
      </c>
      <c r="C342" s="14"/>
      <c r="D342" s="9" t="s">
        <v>465</v>
      </c>
      <c r="E342" s="9" t="s">
        <v>463</v>
      </c>
      <c r="J342" s="13"/>
      <c r="K342" s="13"/>
    </row>
    <row r="343">
      <c r="A343" s="9">
        <v>134.0</v>
      </c>
      <c r="B343" s="14" t="s">
        <v>466</v>
      </c>
      <c r="C343" s="14"/>
      <c r="D343" s="9" t="s">
        <v>366</v>
      </c>
      <c r="E343" s="9" t="s">
        <v>463</v>
      </c>
      <c r="J343" s="13"/>
      <c r="K343" s="13"/>
    </row>
    <row r="344">
      <c r="A344" s="9">
        <v>135.0</v>
      </c>
      <c r="B344" s="14" t="s">
        <v>467</v>
      </c>
      <c r="C344" s="14"/>
      <c r="D344" s="9" t="s">
        <v>374</v>
      </c>
      <c r="E344" s="9" t="s">
        <v>463</v>
      </c>
      <c r="J344" s="13"/>
      <c r="K344" s="13"/>
    </row>
    <row r="345">
      <c r="A345" s="9">
        <v>136.0</v>
      </c>
      <c r="B345" s="14" t="s">
        <v>468</v>
      </c>
      <c r="C345" s="14"/>
      <c r="D345" s="9" t="s">
        <v>469</v>
      </c>
      <c r="E345" s="9" t="s">
        <v>470</v>
      </c>
      <c r="J345" s="13"/>
      <c r="K345" s="13"/>
    </row>
    <row r="346">
      <c r="A346" s="9">
        <v>137.0</v>
      </c>
      <c r="B346" s="14" t="s">
        <v>471</v>
      </c>
      <c r="C346" s="14"/>
      <c r="D346" s="9" t="s">
        <v>472</v>
      </c>
      <c r="E346" s="9" t="s">
        <v>470</v>
      </c>
      <c r="J346" s="13"/>
      <c r="K346" s="13"/>
    </row>
    <row r="347">
      <c r="A347" s="9">
        <v>138.0</v>
      </c>
      <c r="B347" s="14" t="s">
        <v>473</v>
      </c>
      <c r="C347" s="14"/>
      <c r="D347" s="9" t="s">
        <v>474</v>
      </c>
      <c r="E347" s="9" t="s">
        <v>470</v>
      </c>
      <c r="J347" s="13"/>
      <c r="K347" s="13"/>
    </row>
    <row r="348">
      <c r="A348" s="9">
        <v>139.0</v>
      </c>
      <c r="B348" s="14" t="s">
        <v>475</v>
      </c>
      <c r="C348" s="14"/>
      <c r="D348" s="9" t="s">
        <v>476</v>
      </c>
      <c r="E348" s="9" t="s">
        <v>470</v>
      </c>
      <c r="J348" s="13"/>
      <c r="K348" s="13"/>
    </row>
    <row r="349">
      <c r="A349" s="9">
        <v>140.0</v>
      </c>
      <c r="B349" s="14" t="s">
        <v>477</v>
      </c>
      <c r="C349" s="14"/>
      <c r="D349" s="10" t="s">
        <v>478</v>
      </c>
      <c r="E349" s="9" t="s">
        <v>470</v>
      </c>
      <c r="J349" s="13"/>
      <c r="K349" s="13"/>
    </row>
    <row r="350">
      <c r="A350" s="9"/>
      <c r="B350" s="14"/>
      <c r="C350" s="14"/>
      <c r="D350" s="10" t="s">
        <v>479</v>
      </c>
      <c r="E350" s="9"/>
      <c r="J350" s="13"/>
      <c r="K350" s="13"/>
    </row>
    <row r="351">
      <c r="A351" s="9">
        <v>141.0</v>
      </c>
      <c r="B351" s="14" t="s">
        <v>480</v>
      </c>
      <c r="C351" s="14"/>
      <c r="D351" s="10" t="s">
        <v>481</v>
      </c>
      <c r="E351" s="9" t="s">
        <v>470</v>
      </c>
      <c r="J351" s="13"/>
      <c r="K351" s="13"/>
    </row>
    <row r="352">
      <c r="A352" s="9"/>
      <c r="B352" s="14"/>
      <c r="C352" s="14"/>
      <c r="D352" s="10" t="s">
        <v>482</v>
      </c>
      <c r="E352" s="9"/>
      <c r="J352" s="13"/>
      <c r="K352" s="13"/>
    </row>
    <row r="353">
      <c r="A353" s="9">
        <v>142.0</v>
      </c>
      <c r="B353" s="14" t="s">
        <v>483</v>
      </c>
      <c r="C353" s="14"/>
      <c r="D353" s="9" t="s">
        <v>299</v>
      </c>
      <c r="E353" s="9" t="s">
        <v>470</v>
      </c>
      <c r="J353" s="13"/>
      <c r="K353" s="13"/>
    </row>
    <row r="354">
      <c r="A354" s="9">
        <v>143.0</v>
      </c>
      <c r="B354" s="14" t="s">
        <v>484</v>
      </c>
      <c r="C354" s="14"/>
      <c r="D354" s="9" t="s">
        <v>485</v>
      </c>
      <c r="E354" s="9" t="s">
        <v>486</v>
      </c>
      <c r="J354" s="13"/>
      <c r="K354" s="13"/>
    </row>
    <row r="355">
      <c r="A355" s="9">
        <v>144.0</v>
      </c>
      <c r="B355" s="14" t="s">
        <v>487</v>
      </c>
      <c r="C355" s="14"/>
      <c r="D355" s="9" t="s">
        <v>465</v>
      </c>
      <c r="E355" s="9" t="s">
        <v>486</v>
      </c>
      <c r="J355" s="13"/>
      <c r="K355" s="13"/>
    </row>
    <row r="356">
      <c r="A356" s="9">
        <v>145.0</v>
      </c>
      <c r="B356" s="14" t="s">
        <v>488</v>
      </c>
      <c r="C356" s="14"/>
      <c r="D356" s="9" t="s">
        <v>382</v>
      </c>
      <c r="E356" s="9" t="s">
        <v>486</v>
      </c>
      <c r="J356" s="13"/>
      <c r="K356" s="13"/>
    </row>
    <row r="357">
      <c r="A357" s="9">
        <v>146.0</v>
      </c>
      <c r="B357" s="14" t="s">
        <v>489</v>
      </c>
      <c r="C357" s="14"/>
      <c r="D357" s="9" t="s">
        <v>490</v>
      </c>
      <c r="E357" s="9" t="s">
        <v>486</v>
      </c>
      <c r="J357" s="13"/>
      <c r="K357" s="13"/>
    </row>
    <row r="358">
      <c r="A358" s="9">
        <v>147.0</v>
      </c>
      <c r="B358" s="14" t="s">
        <v>491</v>
      </c>
      <c r="C358" s="14"/>
      <c r="D358" s="9" t="s">
        <v>472</v>
      </c>
      <c r="E358" s="9" t="s">
        <v>486</v>
      </c>
      <c r="J358" s="13"/>
      <c r="K358" s="13"/>
    </row>
    <row r="359">
      <c r="A359" s="9">
        <v>148.0</v>
      </c>
      <c r="B359" s="14" t="s">
        <v>492</v>
      </c>
      <c r="C359" s="14"/>
      <c r="D359" s="9" t="s">
        <v>341</v>
      </c>
      <c r="E359" s="9" t="s">
        <v>493</v>
      </c>
      <c r="J359" s="13"/>
      <c r="K359" s="13"/>
    </row>
    <row r="360">
      <c r="A360" s="9">
        <v>149.0</v>
      </c>
      <c r="B360" s="14" t="s">
        <v>494</v>
      </c>
      <c r="C360" s="14"/>
      <c r="D360" s="9" t="s">
        <v>366</v>
      </c>
      <c r="E360" s="9" t="s">
        <v>493</v>
      </c>
      <c r="J360" s="13"/>
      <c r="K360" s="13"/>
    </row>
    <row r="361">
      <c r="A361" s="9">
        <v>150.0</v>
      </c>
      <c r="B361" s="14" t="s">
        <v>495</v>
      </c>
      <c r="C361" s="14"/>
      <c r="D361" s="9" t="s">
        <v>496</v>
      </c>
      <c r="E361" s="9" t="s">
        <v>493</v>
      </c>
      <c r="J361" s="13"/>
      <c r="K361" s="13"/>
    </row>
    <row r="362">
      <c r="A362" s="9">
        <v>151.0</v>
      </c>
      <c r="B362" s="14" t="s">
        <v>497</v>
      </c>
      <c r="C362" s="14"/>
      <c r="D362" s="9" t="s">
        <v>465</v>
      </c>
      <c r="E362" s="9" t="s">
        <v>493</v>
      </c>
      <c r="J362" s="13"/>
      <c r="K362" s="13"/>
    </row>
    <row r="363">
      <c r="A363" s="9">
        <v>152.0</v>
      </c>
      <c r="B363" s="14" t="s">
        <v>498</v>
      </c>
      <c r="C363" s="14"/>
      <c r="D363" s="9" t="s">
        <v>312</v>
      </c>
      <c r="E363" s="9" t="s">
        <v>493</v>
      </c>
      <c r="J363" s="13"/>
      <c r="K363" s="13"/>
    </row>
    <row r="364">
      <c r="A364" s="9">
        <v>153.0</v>
      </c>
      <c r="B364" s="14" t="s">
        <v>499</v>
      </c>
      <c r="C364" s="14"/>
      <c r="D364" s="9" t="s">
        <v>465</v>
      </c>
      <c r="E364" s="9" t="s">
        <v>493</v>
      </c>
      <c r="J364" s="13"/>
      <c r="K364" s="13"/>
    </row>
    <row r="365">
      <c r="A365" s="9">
        <v>154.0</v>
      </c>
      <c r="B365" s="14" t="s">
        <v>500</v>
      </c>
      <c r="C365" s="14"/>
      <c r="D365" s="9" t="s">
        <v>374</v>
      </c>
      <c r="E365" s="9" t="s">
        <v>493</v>
      </c>
      <c r="J365" s="13"/>
      <c r="K365" s="13"/>
    </row>
    <row r="366">
      <c r="A366" s="9">
        <v>155.0</v>
      </c>
      <c r="B366" s="14" t="s">
        <v>501</v>
      </c>
      <c r="C366" s="14"/>
      <c r="D366" s="9" t="s">
        <v>502</v>
      </c>
      <c r="E366" s="9" t="s">
        <v>503</v>
      </c>
      <c r="J366" s="13"/>
      <c r="K366" s="13"/>
    </row>
    <row r="367">
      <c r="A367" s="9">
        <v>156.0</v>
      </c>
      <c r="B367" s="14" t="s">
        <v>504</v>
      </c>
      <c r="C367" s="14"/>
      <c r="D367" s="9" t="s">
        <v>505</v>
      </c>
      <c r="E367" s="9" t="s">
        <v>503</v>
      </c>
      <c r="J367" s="13"/>
      <c r="K367" s="13"/>
    </row>
    <row r="368">
      <c r="A368" s="9">
        <v>157.0</v>
      </c>
      <c r="B368" s="14" t="s">
        <v>506</v>
      </c>
      <c r="C368" s="14"/>
      <c r="D368" s="9" t="s">
        <v>344</v>
      </c>
      <c r="E368" s="9" t="s">
        <v>503</v>
      </c>
      <c r="J368" s="13"/>
      <c r="K368" s="13"/>
    </row>
    <row r="369">
      <c r="A369" s="9">
        <v>158.0</v>
      </c>
      <c r="B369" s="14" t="s">
        <v>507</v>
      </c>
      <c r="C369" s="14"/>
      <c r="D369" s="9" t="s">
        <v>482</v>
      </c>
      <c r="E369" s="9" t="s">
        <v>503</v>
      </c>
      <c r="J369" s="13"/>
      <c r="K369" s="13"/>
    </row>
    <row r="370">
      <c r="A370" s="9">
        <v>159.0</v>
      </c>
      <c r="B370" s="14" t="s">
        <v>508</v>
      </c>
      <c r="C370" s="14"/>
      <c r="D370" s="9" t="s">
        <v>509</v>
      </c>
      <c r="E370" s="9" t="s">
        <v>503</v>
      </c>
      <c r="J370" s="13"/>
      <c r="K370" s="13"/>
    </row>
    <row r="371">
      <c r="A371" s="9">
        <v>160.0</v>
      </c>
      <c r="B371" s="14" t="s">
        <v>510</v>
      </c>
      <c r="C371" s="14"/>
      <c r="D371" s="9" t="s">
        <v>451</v>
      </c>
      <c r="E371" s="9" t="s">
        <v>503</v>
      </c>
      <c r="J371" s="13"/>
      <c r="K371" s="13"/>
    </row>
    <row r="372">
      <c r="A372" s="9">
        <v>161.0</v>
      </c>
      <c r="B372" s="14" t="s">
        <v>511</v>
      </c>
      <c r="C372" s="14"/>
      <c r="D372" s="9" t="s">
        <v>512</v>
      </c>
      <c r="E372" s="9" t="s">
        <v>503</v>
      </c>
      <c r="J372" s="13"/>
      <c r="K372" s="13"/>
    </row>
    <row r="373">
      <c r="A373" s="9">
        <v>162.0</v>
      </c>
      <c r="B373" s="14" t="s">
        <v>513</v>
      </c>
      <c r="C373" s="14"/>
      <c r="D373" s="9" t="s">
        <v>390</v>
      </c>
      <c r="E373" s="9" t="s">
        <v>514</v>
      </c>
      <c r="J373" s="13"/>
      <c r="K373" s="13"/>
    </row>
    <row r="374">
      <c r="A374" s="9">
        <v>163.0</v>
      </c>
      <c r="B374" s="14" t="s">
        <v>515</v>
      </c>
      <c r="C374" s="14"/>
      <c r="D374" s="9" t="s">
        <v>516</v>
      </c>
      <c r="E374" s="9" t="s">
        <v>514</v>
      </c>
      <c r="J374" s="13"/>
      <c r="K374" s="13"/>
    </row>
    <row r="375">
      <c r="A375" s="9">
        <v>164.0</v>
      </c>
      <c r="B375" s="14" t="s">
        <v>517</v>
      </c>
      <c r="C375" s="14"/>
      <c r="D375" s="9" t="s">
        <v>518</v>
      </c>
      <c r="E375" s="9" t="s">
        <v>514</v>
      </c>
      <c r="J375" s="13"/>
      <c r="K375" s="13"/>
    </row>
    <row r="376">
      <c r="A376" s="9">
        <v>165.0</v>
      </c>
      <c r="B376" s="14" t="s">
        <v>519</v>
      </c>
      <c r="C376" s="14"/>
      <c r="D376" s="9" t="s">
        <v>520</v>
      </c>
      <c r="E376" s="9" t="s">
        <v>514</v>
      </c>
      <c r="J376" s="13"/>
      <c r="K376" s="13"/>
    </row>
    <row r="377">
      <c r="A377" s="9">
        <v>166.0</v>
      </c>
      <c r="B377" s="14" t="s">
        <v>521</v>
      </c>
      <c r="C377" s="14"/>
      <c r="D377" s="9" t="s">
        <v>522</v>
      </c>
      <c r="E377" s="9" t="s">
        <v>514</v>
      </c>
      <c r="J377" s="13"/>
      <c r="K377" s="13"/>
    </row>
    <row r="378">
      <c r="A378" s="9">
        <v>167.0</v>
      </c>
      <c r="B378" s="14" t="s">
        <v>523</v>
      </c>
      <c r="C378" s="14"/>
      <c r="D378" s="9" t="s">
        <v>524</v>
      </c>
      <c r="E378" s="9" t="s">
        <v>514</v>
      </c>
      <c r="J378" s="13"/>
      <c r="K378" s="13"/>
    </row>
    <row r="379">
      <c r="A379" s="9">
        <v>168.0</v>
      </c>
      <c r="B379" s="14" t="s">
        <v>525</v>
      </c>
      <c r="C379" s="14"/>
      <c r="D379" s="9" t="s">
        <v>526</v>
      </c>
      <c r="E379" s="9" t="s">
        <v>527</v>
      </c>
      <c r="J379" s="13"/>
      <c r="K379" s="13"/>
    </row>
    <row r="380">
      <c r="A380" s="9">
        <v>169.0</v>
      </c>
      <c r="B380" s="14" t="s">
        <v>528</v>
      </c>
      <c r="C380" s="14"/>
      <c r="D380" s="9" t="s">
        <v>529</v>
      </c>
      <c r="E380" s="9" t="s">
        <v>527</v>
      </c>
      <c r="J380" s="13"/>
      <c r="K380" s="13"/>
    </row>
    <row r="381">
      <c r="A381" s="9">
        <v>170.0</v>
      </c>
      <c r="B381" s="14" t="s">
        <v>530</v>
      </c>
      <c r="C381" s="14"/>
      <c r="D381" s="9" t="s">
        <v>531</v>
      </c>
      <c r="E381" s="9" t="s">
        <v>527</v>
      </c>
      <c r="J381" s="13"/>
      <c r="K381" s="13"/>
    </row>
    <row r="382">
      <c r="A382" s="9">
        <v>171.0</v>
      </c>
      <c r="B382" s="14" t="s">
        <v>532</v>
      </c>
      <c r="C382" s="14"/>
      <c r="D382" s="9" t="s">
        <v>374</v>
      </c>
      <c r="E382" s="9" t="s">
        <v>527</v>
      </c>
      <c r="J382" s="13"/>
      <c r="K382" s="13"/>
    </row>
    <row r="383">
      <c r="A383" s="9">
        <v>172.0</v>
      </c>
      <c r="B383" s="14" t="s">
        <v>533</v>
      </c>
      <c r="C383" s="14"/>
      <c r="D383" s="9" t="s">
        <v>482</v>
      </c>
      <c r="E383" s="9" t="s">
        <v>527</v>
      </c>
      <c r="J383" s="13"/>
      <c r="K383" s="13"/>
    </row>
    <row r="384">
      <c r="A384" s="9">
        <v>173.0</v>
      </c>
      <c r="B384" s="14" t="s">
        <v>534</v>
      </c>
      <c r="C384" s="14"/>
      <c r="D384" s="9" t="s">
        <v>535</v>
      </c>
      <c r="E384" s="9" t="s">
        <v>527</v>
      </c>
      <c r="J384" s="13"/>
      <c r="K384" s="13"/>
    </row>
    <row r="385">
      <c r="A385" s="9">
        <v>174.0</v>
      </c>
      <c r="B385" s="14" t="s">
        <v>536</v>
      </c>
      <c r="C385" s="14"/>
      <c r="D385" s="9" t="s">
        <v>537</v>
      </c>
      <c r="E385" s="9" t="s">
        <v>527</v>
      </c>
      <c r="J385" s="13"/>
      <c r="K385" s="13"/>
    </row>
    <row r="386">
      <c r="A386" s="9">
        <v>175.0</v>
      </c>
      <c r="B386" s="14" t="s">
        <v>538</v>
      </c>
      <c r="C386" s="14"/>
      <c r="D386" s="9" t="s">
        <v>539</v>
      </c>
      <c r="E386" s="9" t="s">
        <v>540</v>
      </c>
      <c r="J386" s="13"/>
      <c r="K386" s="13"/>
    </row>
    <row r="387">
      <c r="A387" s="9">
        <v>176.0</v>
      </c>
      <c r="B387" s="14" t="s">
        <v>541</v>
      </c>
      <c r="C387" s="14"/>
      <c r="D387" s="9" t="s">
        <v>531</v>
      </c>
      <c r="E387" s="9" t="s">
        <v>540</v>
      </c>
      <c r="J387" s="13"/>
      <c r="K387" s="13"/>
    </row>
    <row r="388">
      <c r="A388" s="9">
        <v>177.0</v>
      </c>
      <c r="B388" s="14" t="s">
        <v>542</v>
      </c>
      <c r="C388" s="14"/>
      <c r="D388" s="9" t="s">
        <v>543</v>
      </c>
      <c r="E388" s="9" t="s">
        <v>540</v>
      </c>
      <c r="J388" s="13"/>
      <c r="K388" s="13"/>
    </row>
    <row r="389">
      <c r="A389" s="9">
        <v>178.0</v>
      </c>
      <c r="B389" s="14" t="s">
        <v>544</v>
      </c>
      <c r="C389" s="14"/>
      <c r="D389" s="9" t="s">
        <v>545</v>
      </c>
      <c r="E389" s="9" t="s">
        <v>540</v>
      </c>
      <c r="J389" s="13"/>
      <c r="K389" s="13"/>
    </row>
    <row r="390">
      <c r="A390" s="9">
        <v>179.0</v>
      </c>
      <c r="B390" s="14" t="s">
        <v>546</v>
      </c>
      <c r="C390" s="14"/>
      <c r="D390" s="9" t="s">
        <v>520</v>
      </c>
      <c r="E390" s="9" t="s">
        <v>540</v>
      </c>
      <c r="J390" s="13"/>
      <c r="K390" s="13"/>
    </row>
    <row r="391">
      <c r="A391" s="9">
        <v>180.0</v>
      </c>
      <c r="B391" s="14" t="s">
        <v>547</v>
      </c>
      <c r="C391" s="14"/>
      <c r="D391" s="9" t="s">
        <v>478</v>
      </c>
      <c r="E391" s="9" t="s">
        <v>540</v>
      </c>
      <c r="J391" s="13"/>
      <c r="K391" s="13"/>
    </row>
    <row r="392">
      <c r="A392" s="9">
        <v>181.0</v>
      </c>
      <c r="B392" s="14" t="s">
        <v>548</v>
      </c>
      <c r="C392" s="14"/>
      <c r="D392" s="9" t="s">
        <v>520</v>
      </c>
      <c r="E392" s="9" t="s">
        <v>540</v>
      </c>
      <c r="J392" s="13"/>
      <c r="K392" s="13"/>
    </row>
    <row r="393">
      <c r="A393" s="9">
        <v>182.0</v>
      </c>
      <c r="B393" s="14" t="s">
        <v>549</v>
      </c>
      <c r="C393" s="14"/>
      <c r="D393" s="9" t="s">
        <v>366</v>
      </c>
      <c r="E393" s="9" t="s">
        <v>540</v>
      </c>
      <c r="J393" s="13"/>
      <c r="K393" s="13"/>
    </row>
    <row r="394">
      <c r="A394" s="9">
        <v>183.0</v>
      </c>
      <c r="B394" s="14" t="s">
        <v>550</v>
      </c>
      <c r="C394" s="14"/>
      <c r="D394" s="9" t="s">
        <v>465</v>
      </c>
      <c r="E394" s="9" t="s">
        <v>551</v>
      </c>
      <c r="J394" s="13"/>
      <c r="K394" s="13"/>
    </row>
    <row r="395">
      <c r="A395" s="9">
        <v>184.0</v>
      </c>
      <c r="B395" s="14" t="s">
        <v>552</v>
      </c>
      <c r="C395" s="14"/>
      <c r="D395" s="9" t="s">
        <v>366</v>
      </c>
      <c r="E395" s="9" t="s">
        <v>551</v>
      </c>
      <c r="J395" s="13"/>
      <c r="K395" s="13"/>
    </row>
    <row r="396">
      <c r="A396" s="9">
        <v>185.0</v>
      </c>
      <c r="B396" s="14" t="s">
        <v>553</v>
      </c>
      <c r="C396" s="14"/>
      <c r="D396" s="9" t="s">
        <v>554</v>
      </c>
      <c r="E396" s="9" t="s">
        <v>551</v>
      </c>
      <c r="J396" s="13"/>
      <c r="K396" s="13"/>
    </row>
    <row r="397">
      <c r="A397" s="9">
        <v>186.0</v>
      </c>
      <c r="B397" s="14" t="s">
        <v>555</v>
      </c>
      <c r="C397" s="14"/>
      <c r="D397" s="9" t="s">
        <v>556</v>
      </c>
      <c r="E397" s="9" t="s">
        <v>551</v>
      </c>
      <c r="J397" s="13"/>
      <c r="K397" s="13"/>
    </row>
    <row r="398">
      <c r="A398" s="9">
        <v>187.0</v>
      </c>
      <c r="B398" s="14" t="s">
        <v>557</v>
      </c>
      <c r="C398" s="14"/>
      <c r="D398" s="9" t="s">
        <v>522</v>
      </c>
      <c r="E398" s="9" t="s">
        <v>551</v>
      </c>
      <c r="J398" s="13"/>
      <c r="K398" s="13"/>
    </row>
    <row r="399">
      <c r="A399" s="9">
        <v>188.0</v>
      </c>
      <c r="B399" s="14" t="s">
        <v>558</v>
      </c>
      <c r="C399" s="14"/>
      <c r="D399" s="9" t="s">
        <v>344</v>
      </c>
      <c r="E399" s="9" t="s">
        <v>559</v>
      </c>
      <c r="J399" s="13"/>
      <c r="K399" s="13"/>
    </row>
    <row r="400">
      <c r="A400" s="9">
        <v>189.0</v>
      </c>
      <c r="B400" s="14" t="s">
        <v>560</v>
      </c>
      <c r="C400" s="14"/>
      <c r="D400" s="9" t="s">
        <v>561</v>
      </c>
      <c r="E400" s="9" t="s">
        <v>559</v>
      </c>
      <c r="J400" s="13"/>
      <c r="K400" s="13"/>
    </row>
    <row r="401">
      <c r="A401" s="9">
        <v>190.0</v>
      </c>
      <c r="B401" s="14" t="s">
        <v>562</v>
      </c>
      <c r="C401" s="14"/>
      <c r="D401" s="9" t="s">
        <v>563</v>
      </c>
      <c r="E401" s="9" t="s">
        <v>559</v>
      </c>
      <c r="J401" s="13"/>
      <c r="K401" s="13"/>
    </row>
    <row r="402">
      <c r="A402" s="9">
        <v>191.0</v>
      </c>
      <c r="B402" s="14" t="s">
        <v>564</v>
      </c>
      <c r="C402" s="14"/>
      <c r="D402" s="9" t="s">
        <v>490</v>
      </c>
      <c r="E402" s="9" t="s">
        <v>559</v>
      </c>
      <c r="J402" s="13"/>
      <c r="K402" s="13"/>
    </row>
    <row r="403">
      <c r="A403" s="9">
        <v>192.0</v>
      </c>
      <c r="B403" s="14" t="s">
        <v>565</v>
      </c>
      <c r="C403" s="14"/>
      <c r="D403" s="9" t="s">
        <v>566</v>
      </c>
      <c r="E403" s="9" t="s">
        <v>559</v>
      </c>
      <c r="J403" s="13"/>
      <c r="K403" s="13"/>
    </row>
    <row r="404">
      <c r="A404" s="9">
        <v>193.0</v>
      </c>
      <c r="B404" s="14" t="s">
        <v>567</v>
      </c>
      <c r="C404" s="14"/>
      <c r="D404" s="9" t="s">
        <v>568</v>
      </c>
      <c r="E404" s="9" t="s">
        <v>559</v>
      </c>
      <c r="J404" s="13"/>
      <c r="K404" s="13"/>
    </row>
    <row r="405">
      <c r="A405" s="9">
        <v>194.0</v>
      </c>
      <c r="B405" s="14" t="s">
        <v>569</v>
      </c>
      <c r="C405" s="14"/>
      <c r="D405" s="9" t="s">
        <v>490</v>
      </c>
      <c r="E405" s="9" t="s">
        <v>570</v>
      </c>
      <c r="J405" s="13"/>
      <c r="K405" s="13"/>
    </row>
    <row r="406">
      <c r="A406" s="9">
        <v>195.0</v>
      </c>
      <c r="B406" s="14" t="s">
        <v>571</v>
      </c>
      <c r="C406" s="14"/>
      <c r="D406" s="9" t="s">
        <v>522</v>
      </c>
      <c r="E406" s="9" t="s">
        <v>570</v>
      </c>
      <c r="J406" s="13"/>
      <c r="K406" s="13"/>
    </row>
    <row r="407">
      <c r="A407" s="9">
        <v>196.0</v>
      </c>
      <c r="B407" s="14" t="s">
        <v>572</v>
      </c>
      <c r="C407" s="14"/>
      <c r="D407" s="9" t="s">
        <v>520</v>
      </c>
      <c r="E407" s="9" t="s">
        <v>573</v>
      </c>
      <c r="J407" s="13"/>
      <c r="K407" s="13"/>
    </row>
    <row r="408">
      <c r="A408" s="9">
        <v>197.0</v>
      </c>
      <c r="B408" s="14" t="s">
        <v>574</v>
      </c>
      <c r="C408" s="14"/>
      <c r="D408" s="9" t="s">
        <v>366</v>
      </c>
      <c r="E408" s="9" t="s">
        <v>573</v>
      </c>
      <c r="J408" s="13"/>
      <c r="K408" s="13"/>
    </row>
    <row r="409">
      <c r="A409" s="9">
        <v>198.0</v>
      </c>
      <c r="B409" s="14" t="s">
        <v>575</v>
      </c>
      <c r="C409" s="14"/>
      <c r="D409" s="9" t="s">
        <v>576</v>
      </c>
      <c r="E409" s="9" t="s">
        <v>573</v>
      </c>
      <c r="J409" s="13"/>
      <c r="K409" s="13"/>
    </row>
    <row r="410">
      <c r="A410" s="9">
        <v>199.0</v>
      </c>
      <c r="B410" s="14" t="s">
        <v>577</v>
      </c>
      <c r="C410" s="14"/>
      <c r="D410" s="9" t="s">
        <v>578</v>
      </c>
      <c r="E410" s="9" t="s">
        <v>573</v>
      </c>
      <c r="J410" s="13"/>
      <c r="K410" s="13"/>
    </row>
    <row r="411">
      <c r="A411" s="9">
        <v>200.0</v>
      </c>
      <c r="B411" s="14" t="s">
        <v>579</v>
      </c>
      <c r="C411" s="14"/>
      <c r="D411" s="9" t="s">
        <v>490</v>
      </c>
      <c r="E411" s="9" t="s">
        <v>573</v>
      </c>
      <c r="J411" s="13"/>
      <c r="K411" s="13"/>
    </row>
    <row r="412">
      <c r="A412" s="9">
        <v>201.0</v>
      </c>
      <c r="B412" s="14" t="s">
        <v>580</v>
      </c>
      <c r="C412" s="14"/>
      <c r="D412" s="10" t="s">
        <v>581</v>
      </c>
      <c r="E412" s="9" t="s">
        <v>573</v>
      </c>
      <c r="J412" s="13"/>
      <c r="K412" s="13"/>
    </row>
    <row r="413">
      <c r="A413" s="9"/>
      <c r="B413" s="14"/>
      <c r="C413" s="14"/>
      <c r="D413" s="10" t="s">
        <v>582</v>
      </c>
      <c r="E413" s="9"/>
      <c r="J413" s="13"/>
      <c r="K413" s="13"/>
    </row>
    <row r="414">
      <c r="A414" s="9">
        <v>202.0</v>
      </c>
      <c r="B414" s="14" t="s">
        <v>583</v>
      </c>
      <c r="C414" s="14"/>
      <c r="D414" s="9" t="s">
        <v>584</v>
      </c>
      <c r="E414" s="9" t="s">
        <v>573</v>
      </c>
      <c r="J414" s="13"/>
      <c r="K414" s="13"/>
    </row>
    <row r="415">
      <c r="A415" s="9">
        <v>203.0</v>
      </c>
      <c r="B415" s="14" t="s">
        <v>585</v>
      </c>
      <c r="C415" s="14"/>
      <c r="D415" s="9" t="s">
        <v>312</v>
      </c>
      <c r="E415" s="9" t="s">
        <v>573</v>
      </c>
      <c r="J415" s="13"/>
      <c r="K415" s="13"/>
    </row>
    <row r="416">
      <c r="A416" s="9">
        <v>204.0</v>
      </c>
      <c r="B416" s="14" t="s">
        <v>586</v>
      </c>
      <c r="C416" s="14"/>
      <c r="D416" s="9" t="s">
        <v>587</v>
      </c>
      <c r="E416" s="9" t="s">
        <v>588</v>
      </c>
      <c r="J416" s="13"/>
      <c r="K416" s="13"/>
    </row>
    <row r="417">
      <c r="A417" s="9">
        <v>205.0</v>
      </c>
      <c r="B417" s="14" t="s">
        <v>589</v>
      </c>
      <c r="C417" s="14"/>
      <c r="D417" s="9" t="s">
        <v>465</v>
      </c>
      <c r="E417" s="9" t="s">
        <v>588</v>
      </c>
      <c r="J417" s="13"/>
      <c r="K417" s="13"/>
    </row>
    <row r="418">
      <c r="A418" s="9">
        <v>206.0</v>
      </c>
      <c r="B418" s="14" t="s">
        <v>590</v>
      </c>
      <c r="C418" s="14"/>
      <c r="D418" s="9" t="s">
        <v>591</v>
      </c>
      <c r="E418" s="9" t="s">
        <v>588</v>
      </c>
      <c r="J418" s="13"/>
      <c r="K418" s="13"/>
    </row>
    <row r="419">
      <c r="A419" s="9">
        <v>207.0</v>
      </c>
      <c r="B419" s="14" t="s">
        <v>137</v>
      </c>
      <c r="C419" s="14"/>
      <c r="D419" s="9" t="s">
        <v>561</v>
      </c>
      <c r="E419" s="9" t="s">
        <v>588</v>
      </c>
      <c r="J419" s="13"/>
      <c r="K419" s="13"/>
    </row>
    <row r="420">
      <c r="A420" s="9">
        <v>208.0</v>
      </c>
      <c r="B420" s="14" t="s">
        <v>592</v>
      </c>
      <c r="C420" s="14"/>
      <c r="D420" s="9" t="s">
        <v>531</v>
      </c>
      <c r="E420" s="9" t="s">
        <v>593</v>
      </c>
      <c r="J420" s="13"/>
      <c r="K420" s="13"/>
    </row>
    <row r="421">
      <c r="A421" s="9">
        <v>209.0</v>
      </c>
      <c r="B421" s="14" t="s">
        <v>594</v>
      </c>
      <c r="C421" s="14"/>
      <c r="D421" s="9" t="s">
        <v>522</v>
      </c>
      <c r="E421" s="9" t="s">
        <v>593</v>
      </c>
      <c r="J421" s="13"/>
      <c r="K421" s="13"/>
    </row>
    <row r="422">
      <c r="A422" s="9">
        <v>210.0</v>
      </c>
      <c r="B422" s="14" t="s">
        <v>595</v>
      </c>
      <c r="C422" s="14"/>
      <c r="D422" s="9" t="s">
        <v>382</v>
      </c>
      <c r="E422" s="9" t="s">
        <v>593</v>
      </c>
      <c r="J422" s="13"/>
      <c r="K422" s="13"/>
    </row>
    <row r="423">
      <c r="A423" s="9">
        <v>211.0</v>
      </c>
      <c r="B423" s="14" t="s">
        <v>596</v>
      </c>
      <c r="C423" s="14"/>
      <c r="D423" s="9" t="s">
        <v>597</v>
      </c>
      <c r="E423" s="9" t="s">
        <v>593</v>
      </c>
      <c r="J423" s="13"/>
      <c r="K423" s="13"/>
    </row>
    <row r="424">
      <c r="A424" s="9">
        <v>212.0</v>
      </c>
      <c r="B424" s="14" t="s">
        <v>598</v>
      </c>
      <c r="C424" s="14"/>
      <c r="D424" s="9" t="s">
        <v>472</v>
      </c>
      <c r="E424" s="9" t="s">
        <v>599</v>
      </c>
      <c r="J424" s="13"/>
      <c r="K424" s="13"/>
    </row>
    <row r="425">
      <c r="A425" s="9">
        <v>213.0</v>
      </c>
      <c r="B425" s="14" t="s">
        <v>600</v>
      </c>
      <c r="C425" s="14"/>
      <c r="D425" s="9" t="s">
        <v>601</v>
      </c>
      <c r="E425" s="9" t="s">
        <v>599</v>
      </c>
      <c r="J425" s="13"/>
      <c r="K425" s="13"/>
    </row>
    <row r="426">
      <c r="A426" s="9">
        <v>214.0</v>
      </c>
      <c r="B426" s="14" t="s">
        <v>602</v>
      </c>
      <c r="C426" s="14"/>
      <c r="D426" s="9" t="s">
        <v>591</v>
      </c>
      <c r="E426" s="9" t="s">
        <v>599</v>
      </c>
      <c r="J426" s="13"/>
      <c r="K426" s="13"/>
    </row>
    <row r="427">
      <c r="A427" s="9">
        <v>215.0</v>
      </c>
      <c r="B427" s="14" t="s">
        <v>603</v>
      </c>
      <c r="C427" s="14"/>
      <c r="D427" s="9" t="s">
        <v>604</v>
      </c>
      <c r="E427" s="9" t="s">
        <v>599</v>
      </c>
      <c r="J427" s="13"/>
      <c r="K427" s="13"/>
    </row>
    <row r="428">
      <c r="A428" s="9">
        <v>216.0</v>
      </c>
      <c r="B428" s="14" t="s">
        <v>605</v>
      </c>
      <c r="C428" s="14"/>
      <c r="D428" s="10" t="s">
        <v>606</v>
      </c>
      <c r="E428" s="9" t="s">
        <v>599</v>
      </c>
      <c r="J428" s="13"/>
      <c r="K428" s="13"/>
    </row>
    <row r="429">
      <c r="A429" s="9"/>
      <c r="B429" s="14"/>
      <c r="C429" s="14"/>
      <c r="D429" s="10" t="s">
        <v>607</v>
      </c>
      <c r="E429" s="9"/>
      <c r="J429" s="13"/>
      <c r="K429" s="13"/>
    </row>
    <row r="430">
      <c r="A430" s="9">
        <v>217.0</v>
      </c>
      <c r="B430" s="14" t="s">
        <v>608</v>
      </c>
      <c r="C430" s="14"/>
      <c r="D430" s="9" t="s">
        <v>609</v>
      </c>
      <c r="E430" s="9" t="s">
        <v>599</v>
      </c>
      <c r="J430" s="13"/>
      <c r="K430" s="13"/>
    </row>
    <row r="431">
      <c r="A431" s="9">
        <v>218.0</v>
      </c>
      <c r="B431" s="14" t="s">
        <v>610</v>
      </c>
      <c r="C431" s="14"/>
      <c r="D431" s="10" t="s">
        <v>611</v>
      </c>
      <c r="E431" s="9" t="s">
        <v>599</v>
      </c>
      <c r="J431" s="13"/>
      <c r="K431" s="13"/>
    </row>
    <row r="432">
      <c r="A432" s="9"/>
      <c r="B432" s="14"/>
      <c r="C432" s="14"/>
      <c r="D432" s="10" t="s">
        <v>612</v>
      </c>
      <c r="E432" s="9"/>
      <c r="J432" s="13"/>
      <c r="K432" s="13"/>
    </row>
    <row r="433">
      <c r="A433" s="9">
        <v>219.0</v>
      </c>
      <c r="B433" s="14" t="s">
        <v>613</v>
      </c>
      <c r="C433" s="14"/>
      <c r="D433" s="9" t="s">
        <v>490</v>
      </c>
      <c r="E433" s="9" t="s">
        <v>599</v>
      </c>
      <c r="J433" s="13"/>
      <c r="K433" s="13"/>
    </row>
    <row r="434">
      <c r="A434" s="9">
        <v>220.0</v>
      </c>
      <c r="B434" s="14" t="s">
        <v>614</v>
      </c>
      <c r="C434" s="14"/>
      <c r="D434" s="9" t="s">
        <v>615</v>
      </c>
      <c r="E434" s="9" t="s">
        <v>599</v>
      </c>
      <c r="J434" s="13"/>
      <c r="K434" s="13"/>
    </row>
    <row r="435">
      <c r="A435" s="9">
        <v>221.0</v>
      </c>
      <c r="B435" s="14" t="s">
        <v>616</v>
      </c>
      <c r="C435" s="14"/>
      <c r="D435" s="9" t="s">
        <v>520</v>
      </c>
      <c r="E435" s="9" t="s">
        <v>599</v>
      </c>
      <c r="J435" s="13"/>
      <c r="K435" s="13"/>
    </row>
    <row r="436">
      <c r="A436" s="9">
        <v>222.0</v>
      </c>
      <c r="B436" s="14" t="s">
        <v>617</v>
      </c>
      <c r="C436" s="14"/>
      <c r="D436" s="9" t="s">
        <v>582</v>
      </c>
      <c r="E436" s="9" t="s">
        <v>599</v>
      </c>
      <c r="J436" s="13"/>
      <c r="K436" s="13"/>
    </row>
    <row r="437">
      <c r="A437" s="9">
        <v>223.0</v>
      </c>
      <c r="B437" s="14" t="s">
        <v>618</v>
      </c>
      <c r="C437" s="14"/>
      <c r="D437" s="9" t="s">
        <v>465</v>
      </c>
      <c r="E437" s="9" t="s">
        <v>619</v>
      </c>
      <c r="J437" s="13"/>
      <c r="K437" s="13"/>
    </row>
    <row r="438">
      <c r="A438" s="9">
        <v>224.0</v>
      </c>
      <c r="B438" s="14" t="s">
        <v>620</v>
      </c>
      <c r="C438" s="14"/>
      <c r="D438" s="9" t="s">
        <v>344</v>
      </c>
      <c r="E438" s="9" t="s">
        <v>619</v>
      </c>
      <c r="J438" s="13"/>
      <c r="K438" s="13"/>
    </row>
    <row r="439">
      <c r="A439" s="9">
        <v>225.0</v>
      </c>
      <c r="B439" s="14" t="s">
        <v>621</v>
      </c>
      <c r="C439" s="14"/>
      <c r="D439" s="9" t="s">
        <v>622</v>
      </c>
      <c r="E439" s="9" t="s">
        <v>619</v>
      </c>
      <c r="J439" s="13"/>
      <c r="K439" s="13"/>
    </row>
    <row r="440">
      <c r="A440" s="9">
        <v>226.0</v>
      </c>
      <c r="B440" s="14" t="s">
        <v>623</v>
      </c>
      <c r="C440" s="14"/>
      <c r="D440" s="9" t="s">
        <v>366</v>
      </c>
      <c r="E440" s="9" t="s">
        <v>619</v>
      </c>
      <c r="J440" s="13"/>
      <c r="K440" s="13"/>
    </row>
    <row r="441">
      <c r="A441" s="9">
        <v>227.0</v>
      </c>
      <c r="B441" s="14" t="s">
        <v>624</v>
      </c>
      <c r="C441" s="14"/>
      <c r="D441" s="9" t="s">
        <v>625</v>
      </c>
      <c r="E441" s="9" t="s">
        <v>619</v>
      </c>
      <c r="J441" s="13"/>
      <c r="K441" s="13"/>
    </row>
    <row r="442">
      <c r="A442" s="9">
        <v>228.0</v>
      </c>
      <c r="B442" s="14" t="s">
        <v>626</v>
      </c>
      <c r="C442" s="14"/>
      <c r="D442" s="9" t="s">
        <v>627</v>
      </c>
      <c r="E442" s="9" t="s">
        <v>619</v>
      </c>
      <c r="J442" s="13"/>
      <c r="K442" s="13"/>
    </row>
    <row r="443">
      <c r="A443" s="9">
        <v>229.0</v>
      </c>
      <c r="B443" s="14" t="s">
        <v>628</v>
      </c>
      <c r="C443" s="14"/>
      <c r="D443" s="9" t="s">
        <v>627</v>
      </c>
      <c r="E443" s="9" t="s">
        <v>629</v>
      </c>
      <c r="J443" s="13"/>
      <c r="K443" s="13"/>
    </row>
    <row r="444">
      <c r="A444" s="9">
        <v>230.0</v>
      </c>
      <c r="B444" s="14" t="s">
        <v>630</v>
      </c>
      <c r="C444" s="14"/>
      <c r="D444" s="9" t="s">
        <v>520</v>
      </c>
      <c r="E444" s="9" t="s">
        <v>629</v>
      </c>
      <c r="J444" s="13"/>
      <c r="K444" s="13"/>
    </row>
    <row r="445">
      <c r="A445" s="9">
        <v>231.0</v>
      </c>
      <c r="B445" s="14" t="s">
        <v>631</v>
      </c>
      <c r="C445" s="14"/>
      <c r="D445" s="9" t="s">
        <v>584</v>
      </c>
      <c r="E445" s="9" t="s">
        <v>629</v>
      </c>
      <c r="J445" s="13"/>
      <c r="K445" s="13"/>
    </row>
    <row r="446">
      <c r="A446" s="9">
        <v>232.0</v>
      </c>
      <c r="B446" s="14" t="s">
        <v>632</v>
      </c>
      <c r="C446" s="14"/>
      <c r="D446" s="9" t="s">
        <v>604</v>
      </c>
      <c r="E446" s="9" t="s">
        <v>629</v>
      </c>
      <c r="J446" s="13"/>
      <c r="K446" s="13"/>
    </row>
    <row r="447">
      <c r="A447" s="9">
        <v>233.0</v>
      </c>
      <c r="B447" s="14" t="s">
        <v>633</v>
      </c>
      <c r="C447" s="14"/>
      <c r="D447" s="9" t="s">
        <v>634</v>
      </c>
      <c r="E447" s="9" t="s">
        <v>629</v>
      </c>
      <c r="J447" s="13"/>
      <c r="K447" s="13"/>
    </row>
    <row r="448">
      <c r="A448" s="9">
        <v>234.0</v>
      </c>
      <c r="B448" s="14" t="s">
        <v>635</v>
      </c>
      <c r="C448" s="14"/>
      <c r="D448" s="9" t="s">
        <v>485</v>
      </c>
      <c r="E448" s="9" t="s">
        <v>636</v>
      </c>
      <c r="J448" s="13"/>
      <c r="K448" s="13"/>
    </row>
    <row r="449">
      <c r="A449" s="9">
        <v>235.0</v>
      </c>
      <c r="B449" s="14" t="s">
        <v>637</v>
      </c>
      <c r="C449" s="14"/>
      <c r="D449" s="9" t="s">
        <v>638</v>
      </c>
      <c r="E449" s="9" t="s">
        <v>636</v>
      </c>
      <c r="J449" s="13"/>
      <c r="K449" s="13"/>
    </row>
    <row r="450">
      <c r="A450" s="9">
        <v>236.0</v>
      </c>
      <c r="B450" s="14" t="s">
        <v>639</v>
      </c>
      <c r="C450" s="14"/>
      <c r="D450" s="9" t="s">
        <v>640</v>
      </c>
      <c r="E450" s="9" t="s">
        <v>636</v>
      </c>
      <c r="J450" s="13"/>
      <c r="K450" s="13"/>
    </row>
    <row r="451">
      <c r="A451" s="9">
        <v>237.0</v>
      </c>
      <c r="B451" s="14" t="s">
        <v>641</v>
      </c>
      <c r="C451" s="14"/>
      <c r="D451" s="9" t="s">
        <v>522</v>
      </c>
      <c r="E451" s="9" t="s">
        <v>636</v>
      </c>
      <c r="J451" s="13"/>
      <c r="K451" s="13"/>
    </row>
    <row r="452">
      <c r="A452" s="9">
        <v>238.0</v>
      </c>
      <c r="B452" s="14" t="s">
        <v>642</v>
      </c>
      <c r="C452" s="14"/>
      <c r="D452" s="9" t="s">
        <v>465</v>
      </c>
      <c r="E452" s="9" t="s">
        <v>636</v>
      </c>
      <c r="J452" s="13"/>
      <c r="K452" s="13"/>
    </row>
    <row r="453">
      <c r="A453" s="9">
        <v>239.0</v>
      </c>
      <c r="B453" s="14" t="s">
        <v>643</v>
      </c>
      <c r="C453" s="14"/>
      <c r="D453" s="9" t="s">
        <v>644</v>
      </c>
      <c r="E453" s="9" t="s">
        <v>636</v>
      </c>
      <c r="J453" s="13"/>
      <c r="K453" s="13"/>
    </row>
    <row r="454">
      <c r="A454" s="9">
        <v>240.0</v>
      </c>
      <c r="B454" s="14" t="s">
        <v>645</v>
      </c>
      <c r="C454" s="14"/>
      <c r="D454" s="9" t="s">
        <v>597</v>
      </c>
      <c r="E454" s="9" t="s">
        <v>636</v>
      </c>
      <c r="J454" s="13"/>
      <c r="K454" s="13"/>
    </row>
    <row r="455">
      <c r="A455" s="9">
        <v>241.0</v>
      </c>
      <c r="B455" s="14" t="s">
        <v>646</v>
      </c>
      <c r="C455" s="14"/>
      <c r="D455" s="9" t="s">
        <v>568</v>
      </c>
      <c r="E455" s="9" t="s">
        <v>636</v>
      </c>
      <c r="J455" s="13"/>
      <c r="K455" s="13"/>
    </row>
    <row r="456">
      <c r="A456" s="9">
        <v>242.0</v>
      </c>
      <c r="B456" s="14" t="s">
        <v>647</v>
      </c>
      <c r="C456" s="14"/>
      <c r="D456" s="9" t="s">
        <v>648</v>
      </c>
      <c r="E456" s="9" t="s">
        <v>636</v>
      </c>
      <c r="J456" s="13"/>
      <c r="K456" s="13"/>
    </row>
    <row r="457">
      <c r="A457" s="9">
        <v>243.0</v>
      </c>
      <c r="B457" s="14" t="s">
        <v>649</v>
      </c>
      <c r="C457" s="14"/>
      <c r="D457" s="9" t="s">
        <v>490</v>
      </c>
      <c r="E457" s="9" t="s">
        <v>636</v>
      </c>
      <c r="J457" s="13"/>
      <c r="K457" s="13"/>
    </row>
    <row r="458">
      <c r="A458" s="9">
        <v>244.0</v>
      </c>
      <c r="B458" s="14" t="s">
        <v>650</v>
      </c>
      <c r="C458" s="14"/>
      <c r="D458" s="9" t="s">
        <v>651</v>
      </c>
      <c r="E458" s="9" t="s">
        <v>636</v>
      </c>
      <c r="J458" s="13"/>
      <c r="K458" s="13"/>
    </row>
    <row r="459">
      <c r="A459" s="9">
        <v>245.0</v>
      </c>
      <c r="B459" s="14" t="s">
        <v>652</v>
      </c>
      <c r="C459" s="14"/>
      <c r="D459" s="9" t="s">
        <v>653</v>
      </c>
      <c r="E459" s="9" t="s">
        <v>654</v>
      </c>
      <c r="J459" s="13"/>
      <c r="K459" s="13"/>
    </row>
    <row r="460">
      <c r="A460" s="9">
        <v>246.0</v>
      </c>
      <c r="B460" s="14" t="s">
        <v>655</v>
      </c>
      <c r="C460" s="14"/>
      <c r="D460" s="9" t="s">
        <v>656</v>
      </c>
      <c r="E460" s="9" t="s">
        <v>654</v>
      </c>
      <c r="J460" s="13"/>
      <c r="K460" s="13"/>
    </row>
    <row r="461">
      <c r="A461" s="9">
        <v>247.0</v>
      </c>
      <c r="B461" s="14" t="s">
        <v>657</v>
      </c>
      <c r="C461" s="14"/>
      <c r="D461" s="9" t="s">
        <v>522</v>
      </c>
      <c r="E461" s="9" t="s">
        <v>654</v>
      </c>
      <c r="J461" s="13"/>
      <c r="K461" s="13"/>
    </row>
    <row r="462">
      <c r="A462" s="9">
        <v>248.0</v>
      </c>
      <c r="B462" s="14" t="s">
        <v>658</v>
      </c>
      <c r="C462" s="14"/>
      <c r="D462" s="9" t="s">
        <v>591</v>
      </c>
      <c r="E462" s="9" t="s">
        <v>654</v>
      </c>
      <c r="J462" s="13"/>
      <c r="K462" s="13"/>
    </row>
    <row r="463">
      <c r="A463" s="9">
        <v>249.0</v>
      </c>
      <c r="B463" s="14" t="s">
        <v>659</v>
      </c>
      <c r="C463" s="14"/>
      <c r="D463" s="9" t="s">
        <v>660</v>
      </c>
      <c r="E463" s="9" t="s">
        <v>654</v>
      </c>
      <c r="J463" s="13"/>
      <c r="K463" s="13"/>
    </row>
    <row r="464">
      <c r="A464" s="9">
        <v>250.0</v>
      </c>
      <c r="B464" s="14" t="s">
        <v>661</v>
      </c>
      <c r="C464" s="14"/>
      <c r="D464" s="9" t="s">
        <v>520</v>
      </c>
      <c r="E464" s="9" t="s">
        <v>654</v>
      </c>
      <c r="J464" s="13"/>
      <c r="K464" s="13"/>
    </row>
    <row r="465">
      <c r="A465" s="9">
        <v>251.0</v>
      </c>
      <c r="B465" s="14" t="s">
        <v>662</v>
      </c>
      <c r="C465" s="14"/>
      <c r="D465" s="9" t="s">
        <v>563</v>
      </c>
      <c r="E465" s="9" t="s">
        <v>654</v>
      </c>
      <c r="J465" s="13"/>
      <c r="K465" s="13"/>
    </row>
    <row r="466">
      <c r="A466" s="9">
        <v>252.0</v>
      </c>
      <c r="B466" s="14" t="s">
        <v>663</v>
      </c>
      <c r="C466" s="14"/>
      <c r="D466" s="9" t="s">
        <v>664</v>
      </c>
      <c r="E466" s="9" t="s">
        <v>654</v>
      </c>
      <c r="J466" s="13"/>
      <c r="K466" s="13"/>
    </row>
    <row r="467">
      <c r="A467" s="9">
        <v>253.0</v>
      </c>
      <c r="B467" s="14" t="s">
        <v>665</v>
      </c>
      <c r="C467" s="14"/>
      <c r="D467" s="9" t="s">
        <v>543</v>
      </c>
      <c r="E467" s="9" t="s">
        <v>654</v>
      </c>
      <c r="J467" s="13"/>
      <c r="K467" s="13"/>
    </row>
    <row r="468">
      <c r="A468" s="9">
        <v>254.0</v>
      </c>
      <c r="B468" s="14" t="s">
        <v>666</v>
      </c>
      <c r="C468" s="14"/>
      <c r="D468" s="9" t="s">
        <v>667</v>
      </c>
      <c r="E468" s="9" t="s">
        <v>668</v>
      </c>
      <c r="J468" s="13"/>
      <c r="K468" s="13"/>
    </row>
    <row r="469">
      <c r="A469" s="9">
        <v>255.0</v>
      </c>
      <c r="B469" s="14" t="s">
        <v>669</v>
      </c>
      <c r="C469" s="14"/>
      <c r="D469" s="9" t="s">
        <v>490</v>
      </c>
      <c r="E469" s="9" t="s">
        <v>668</v>
      </c>
      <c r="J469" s="13"/>
      <c r="K469" s="13"/>
    </row>
    <row r="470">
      <c r="A470" s="9">
        <v>256.0</v>
      </c>
      <c r="B470" s="14" t="s">
        <v>670</v>
      </c>
      <c r="C470" s="14"/>
      <c r="D470" s="9" t="s">
        <v>520</v>
      </c>
      <c r="E470" s="9" t="s">
        <v>668</v>
      </c>
      <c r="J470" s="13"/>
      <c r="K470" s="13"/>
    </row>
    <row r="471">
      <c r="A471" s="9">
        <v>257.0</v>
      </c>
      <c r="B471" s="14" t="s">
        <v>671</v>
      </c>
      <c r="C471" s="14"/>
      <c r="D471" s="9" t="s">
        <v>672</v>
      </c>
      <c r="E471" s="9" t="s">
        <v>668</v>
      </c>
      <c r="J471" s="13"/>
      <c r="K471" s="13"/>
    </row>
    <row r="472">
      <c r="A472" s="9">
        <v>258.0</v>
      </c>
      <c r="B472" s="14" t="s">
        <v>673</v>
      </c>
      <c r="C472" s="14"/>
      <c r="D472" s="9" t="s">
        <v>366</v>
      </c>
      <c r="E472" s="9" t="s">
        <v>668</v>
      </c>
      <c r="J472" s="13"/>
      <c r="K472" s="13"/>
    </row>
    <row r="473">
      <c r="A473" s="9">
        <v>259.0</v>
      </c>
      <c r="B473" s="14" t="s">
        <v>674</v>
      </c>
      <c r="C473" s="14"/>
      <c r="D473" s="9" t="s">
        <v>490</v>
      </c>
      <c r="E473" s="9" t="s">
        <v>675</v>
      </c>
      <c r="J473" s="13"/>
      <c r="K473" s="13"/>
    </row>
    <row r="474">
      <c r="A474" s="9">
        <v>260.0</v>
      </c>
      <c r="B474" s="14" t="s">
        <v>676</v>
      </c>
      <c r="C474" s="14"/>
      <c r="D474" s="9" t="s">
        <v>677</v>
      </c>
      <c r="E474" s="9" t="s">
        <v>675</v>
      </c>
      <c r="J474" s="13"/>
      <c r="K474" s="13"/>
    </row>
    <row r="475">
      <c r="A475" s="9">
        <v>261.0</v>
      </c>
      <c r="B475" s="14" t="s">
        <v>678</v>
      </c>
      <c r="C475" s="14"/>
      <c r="D475" s="9" t="s">
        <v>679</v>
      </c>
      <c r="E475" s="9" t="s">
        <v>675</v>
      </c>
      <c r="J475" s="13"/>
      <c r="K475" s="13"/>
    </row>
    <row r="476">
      <c r="A476" s="9">
        <v>262.0</v>
      </c>
      <c r="B476" s="14" t="s">
        <v>680</v>
      </c>
      <c r="C476" s="14"/>
      <c r="D476" s="9" t="s">
        <v>604</v>
      </c>
      <c r="E476" s="9" t="s">
        <v>675</v>
      </c>
      <c r="J476" s="13"/>
      <c r="K476" s="13"/>
    </row>
    <row r="477">
      <c r="A477" s="9">
        <v>263.0</v>
      </c>
      <c r="B477" s="14" t="s">
        <v>681</v>
      </c>
      <c r="C477" s="14"/>
      <c r="D477" s="9" t="s">
        <v>522</v>
      </c>
      <c r="E477" s="9" t="s">
        <v>675</v>
      </c>
      <c r="J477" s="13"/>
      <c r="K477" s="13"/>
    </row>
    <row r="478">
      <c r="A478" s="9">
        <v>264.0</v>
      </c>
      <c r="B478" s="14" t="s">
        <v>682</v>
      </c>
      <c r="C478" s="14"/>
      <c r="D478" s="9" t="s">
        <v>653</v>
      </c>
      <c r="E478" s="9" t="s">
        <v>675</v>
      </c>
      <c r="J478" s="13"/>
      <c r="K478" s="13"/>
    </row>
    <row r="479">
      <c r="A479" s="9">
        <v>265.0</v>
      </c>
      <c r="B479" s="14" t="s">
        <v>683</v>
      </c>
      <c r="C479" s="14"/>
      <c r="D479" s="9" t="s">
        <v>627</v>
      </c>
      <c r="E479" s="9" t="s">
        <v>675</v>
      </c>
      <c r="J479" s="13"/>
      <c r="K479" s="13"/>
    </row>
    <row r="480">
      <c r="A480" s="9">
        <v>266.0</v>
      </c>
      <c r="B480" s="14" t="s">
        <v>684</v>
      </c>
      <c r="C480" s="14"/>
      <c r="D480" s="9" t="s">
        <v>685</v>
      </c>
      <c r="E480" s="9" t="s">
        <v>675</v>
      </c>
      <c r="J480" s="13"/>
      <c r="K480" s="13"/>
    </row>
    <row r="481">
      <c r="A481" s="9">
        <v>267.0</v>
      </c>
      <c r="B481" s="14" t="s">
        <v>686</v>
      </c>
      <c r="C481" s="14"/>
      <c r="D481" s="9" t="s">
        <v>687</v>
      </c>
      <c r="E481" s="9" t="s">
        <v>688</v>
      </c>
      <c r="J481" s="13"/>
      <c r="K481" s="13"/>
    </row>
    <row r="482">
      <c r="A482" s="9">
        <v>268.0</v>
      </c>
      <c r="B482" s="14" t="s">
        <v>689</v>
      </c>
      <c r="C482" s="14"/>
      <c r="D482" s="9" t="s">
        <v>690</v>
      </c>
      <c r="E482" s="9" t="s">
        <v>688</v>
      </c>
      <c r="J482" s="13"/>
      <c r="K482" s="13"/>
    </row>
    <row r="483">
      <c r="A483" s="9">
        <v>269.0</v>
      </c>
      <c r="B483" s="14" t="s">
        <v>691</v>
      </c>
      <c r="C483" s="14"/>
      <c r="D483" s="9" t="s">
        <v>692</v>
      </c>
      <c r="E483" s="9" t="s">
        <v>688</v>
      </c>
      <c r="J483" s="13"/>
      <c r="K483" s="13"/>
    </row>
    <row r="484">
      <c r="A484" s="9">
        <v>270.0</v>
      </c>
      <c r="B484" s="14" t="s">
        <v>693</v>
      </c>
      <c r="C484" s="14"/>
      <c r="D484" s="9" t="s">
        <v>554</v>
      </c>
      <c r="E484" s="9" t="s">
        <v>688</v>
      </c>
      <c r="J484" s="13"/>
      <c r="K484" s="13"/>
    </row>
    <row r="485">
      <c r="A485" s="9">
        <v>271.0</v>
      </c>
      <c r="B485" s="14" t="s">
        <v>694</v>
      </c>
      <c r="C485" s="14"/>
      <c r="D485" s="9" t="s">
        <v>695</v>
      </c>
      <c r="E485" s="9" t="s">
        <v>688</v>
      </c>
      <c r="J485" s="13"/>
      <c r="K485" s="13"/>
    </row>
    <row r="486">
      <c r="A486" s="9">
        <v>272.0</v>
      </c>
      <c r="B486" s="14" t="s">
        <v>696</v>
      </c>
      <c r="C486" s="14"/>
      <c r="D486" s="9" t="s">
        <v>597</v>
      </c>
      <c r="E486" s="9" t="s">
        <v>688</v>
      </c>
      <c r="J486" s="13"/>
      <c r="K486" s="13"/>
    </row>
    <row r="487">
      <c r="A487" s="9">
        <v>273.0</v>
      </c>
      <c r="B487" s="14" t="s">
        <v>697</v>
      </c>
      <c r="C487" s="14"/>
      <c r="D487" s="9" t="s">
        <v>490</v>
      </c>
      <c r="E487" s="9" t="s">
        <v>688</v>
      </c>
      <c r="J487" s="13"/>
      <c r="K487" s="13"/>
    </row>
    <row r="488">
      <c r="A488" s="9">
        <v>274.0</v>
      </c>
      <c r="B488" s="14" t="s">
        <v>698</v>
      </c>
      <c r="C488" s="14"/>
      <c r="D488" s="9" t="s">
        <v>520</v>
      </c>
      <c r="E488" s="9" t="s">
        <v>688</v>
      </c>
      <c r="J488" s="13"/>
      <c r="K488" s="13"/>
    </row>
    <row r="489">
      <c r="A489" s="9">
        <v>275.0</v>
      </c>
      <c r="B489" s="14" t="s">
        <v>699</v>
      </c>
      <c r="C489" s="14"/>
      <c r="D489" s="9" t="s">
        <v>465</v>
      </c>
      <c r="E489" s="9" t="s">
        <v>700</v>
      </c>
      <c r="J489" s="13"/>
      <c r="K489" s="13"/>
    </row>
    <row r="490">
      <c r="A490" s="9">
        <v>276.0</v>
      </c>
      <c r="B490" s="14" t="s">
        <v>701</v>
      </c>
      <c r="C490" s="14"/>
      <c r="D490" s="9" t="s">
        <v>702</v>
      </c>
      <c r="E490" s="9" t="s">
        <v>700</v>
      </c>
      <c r="J490" s="13"/>
      <c r="K490" s="13"/>
    </row>
    <row r="491">
      <c r="A491" s="9">
        <v>277.0</v>
      </c>
      <c r="B491" s="14" t="s">
        <v>703</v>
      </c>
      <c r="C491" s="14"/>
      <c r="D491" s="9" t="s">
        <v>704</v>
      </c>
      <c r="E491" s="9" t="s">
        <v>700</v>
      </c>
      <c r="J491" s="13"/>
      <c r="K491" s="13"/>
    </row>
    <row r="492">
      <c r="A492" s="9">
        <v>278.0</v>
      </c>
      <c r="B492" s="14" t="s">
        <v>705</v>
      </c>
      <c r="C492" s="14"/>
      <c r="D492" s="9" t="s">
        <v>706</v>
      </c>
      <c r="E492" s="9" t="s">
        <v>700</v>
      </c>
      <c r="J492" s="13"/>
      <c r="K492" s="13"/>
    </row>
    <row r="493">
      <c r="A493" s="9">
        <v>279.0</v>
      </c>
      <c r="B493" s="14" t="s">
        <v>707</v>
      </c>
      <c r="C493" s="14"/>
      <c r="D493" s="9" t="s">
        <v>568</v>
      </c>
      <c r="E493" s="9" t="s">
        <v>700</v>
      </c>
      <c r="J493" s="13"/>
      <c r="K493" s="13"/>
    </row>
    <row r="494">
      <c r="A494" s="9">
        <v>280.0</v>
      </c>
      <c r="B494" s="14" t="s">
        <v>708</v>
      </c>
      <c r="C494" s="14"/>
      <c r="D494" s="9" t="s">
        <v>604</v>
      </c>
      <c r="E494" s="9" t="s">
        <v>700</v>
      </c>
      <c r="J494" s="13"/>
      <c r="K494" s="13"/>
    </row>
    <row r="495">
      <c r="A495" s="9">
        <v>281.0</v>
      </c>
      <c r="B495" s="14" t="s">
        <v>709</v>
      </c>
      <c r="C495" s="14"/>
      <c r="D495" s="9" t="s">
        <v>627</v>
      </c>
      <c r="E495" s="9" t="s">
        <v>700</v>
      </c>
      <c r="J495" s="13"/>
      <c r="K495" s="13"/>
    </row>
    <row r="496">
      <c r="A496" s="9">
        <v>282.0</v>
      </c>
      <c r="B496" s="14" t="s">
        <v>710</v>
      </c>
      <c r="C496" s="14"/>
      <c r="D496" s="9" t="s">
        <v>711</v>
      </c>
      <c r="E496" s="9" t="s">
        <v>700</v>
      </c>
      <c r="J496" s="13"/>
      <c r="K496" s="13"/>
    </row>
    <row r="497">
      <c r="A497" s="9">
        <v>283.0</v>
      </c>
      <c r="B497" s="14" t="s">
        <v>712</v>
      </c>
      <c r="C497" s="14"/>
      <c r="D497" s="9" t="s">
        <v>713</v>
      </c>
      <c r="E497" s="9" t="s">
        <v>700</v>
      </c>
      <c r="J497" s="13"/>
      <c r="K497" s="13"/>
    </row>
    <row r="498">
      <c r="A498" s="9">
        <v>284.0</v>
      </c>
      <c r="B498" s="14" t="s">
        <v>714</v>
      </c>
      <c r="C498" s="14"/>
      <c r="D498" s="9" t="s">
        <v>522</v>
      </c>
      <c r="E498" s="9" t="s">
        <v>715</v>
      </c>
      <c r="J498" s="13"/>
      <c r="K498" s="13"/>
    </row>
    <row r="499">
      <c r="A499" s="9">
        <v>285.0</v>
      </c>
      <c r="B499" s="14" t="s">
        <v>716</v>
      </c>
      <c r="C499" s="14"/>
      <c r="D499" s="9" t="s">
        <v>490</v>
      </c>
      <c r="E499" s="9" t="s">
        <v>715</v>
      </c>
      <c r="J499" s="13"/>
      <c r="K499" s="13"/>
    </row>
    <row r="500">
      <c r="A500" s="9">
        <v>286.0</v>
      </c>
      <c r="B500" s="14" t="s">
        <v>717</v>
      </c>
      <c r="C500" s="14"/>
      <c r="D500" s="9" t="s">
        <v>718</v>
      </c>
      <c r="E500" s="9" t="s">
        <v>715</v>
      </c>
      <c r="J500" s="13"/>
      <c r="K500" s="13"/>
    </row>
    <row r="501">
      <c r="A501" s="9">
        <v>287.0</v>
      </c>
      <c r="B501" s="14" t="s">
        <v>719</v>
      </c>
      <c r="C501" s="14"/>
      <c r="D501" s="9" t="s">
        <v>656</v>
      </c>
      <c r="E501" s="9" t="s">
        <v>715</v>
      </c>
      <c r="J501" s="13"/>
      <c r="K501" s="13"/>
    </row>
    <row r="502">
      <c r="A502" s="9">
        <v>288.0</v>
      </c>
      <c r="B502" s="14" t="s">
        <v>720</v>
      </c>
      <c r="C502" s="14"/>
      <c r="D502" s="9" t="s">
        <v>563</v>
      </c>
      <c r="E502" s="9" t="s">
        <v>715</v>
      </c>
      <c r="J502" s="13"/>
      <c r="K502" s="13"/>
    </row>
    <row r="503">
      <c r="A503" s="9">
        <v>289.0</v>
      </c>
      <c r="B503" s="14" t="s">
        <v>721</v>
      </c>
      <c r="C503" s="14"/>
      <c r="D503" s="9" t="s">
        <v>520</v>
      </c>
      <c r="E503" s="9" t="s">
        <v>715</v>
      </c>
      <c r="J503" s="13"/>
      <c r="K503" s="13"/>
    </row>
    <row r="504">
      <c r="A504" s="9">
        <v>290.0</v>
      </c>
      <c r="B504" s="14" t="s">
        <v>722</v>
      </c>
      <c r="C504" s="14"/>
      <c r="D504" s="9" t="s">
        <v>718</v>
      </c>
      <c r="E504" s="9" t="s">
        <v>723</v>
      </c>
      <c r="J504" s="13"/>
      <c r="K504" s="13"/>
    </row>
    <row r="505">
      <c r="A505" s="9">
        <v>291.0</v>
      </c>
      <c r="B505" s="14" t="s">
        <v>724</v>
      </c>
      <c r="C505" s="14"/>
      <c r="D505" s="9" t="s">
        <v>725</v>
      </c>
      <c r="E505" s="9" t="s">
        <v>723</v>
      </c>
      <c r="J505" s="13"/>
      <c r="K505" s="13"/>
    </row>
    <row r="506">
      <c r="A506" s="9">
        <v>292.0</v>
      </c>
      <c r="B506" s="14" t="s">
        <v>726</v>
      </c>
      <c r="C506" s="14"/>
      <c r="D506" s="9" t="s">
        <v>692</v>
      </c>
      <c r="E506" s="9" t="s">
        <v>723</v>
      </c>
      <c r="J506" s="13"/>
      <c r="K506" s="13"/>
    </row>
    <row r="507">
      <c r="A507" s="9">
        <v>293.0</v>
      </c>
      <c r="B507" s="14" t="s">
        <v>727</v>
      </c>
      <c r="C507" s="14"/>
      <c r="D507" s="9" t="s">
        <v>728</v>
      </c>
      <c r="E507" s="9" t="s">
        <v>723</v>
      </c>
      <c r="J507" s="13"/>
      <c r="K507" s="13"/>
    </row>
    <row r="508">
      <c r="A508" s="9">
        <v>294.0</v>
      </c>
      <c r="B508" s="14" t="s">
        <v>729</v>
      </c>
      <c r="C508" s="14"/>
      <c r="D508" s="9" t="s">
        <v>695</v>
      </c>
      <c r="E508" s="9" t="s">
        <v>723</v>
      </c>
      <c r="J508" s="13"/>
      <c r="K508" s="13"/>
    </row>
    <row r="509">
      <c r="A509" s="9">
        <v>295.0</v>
      </c>
      <c r="B509" s="14" t="s">
        <v>730</v>
      </c>
      <c r="C509" s="14"/>
      <c r="D509" s="9" t="s">
        <v>731</v>
      </c>
      <c r="E509" s="9" t="s">
        <v>723</v>
      </c>
      <c r="J509" s="13"/>
      <c r="K509" s="13"/>
    </row>
    <row r="510">
      <c r="A510" s="9">
        <v>296.0</v>
      </c>
      <c r="B510" s="14" t="s">
        <v>732</v>
      </c>
      <c r="C510" s="14"/>
      <c r="D510" s="9" t="s">
        <v>601</v>
      </c>
      <c r="E510" s="9" t="s">
        <v>723</v>
      </c>
      <c r="J510" s="13"/>
      <c r="K510" s="13"/>
    </row>
    <row r="511">
      <c r="A511" s="9">
        <v>297.0</v>
      </c>
      <c r="B511" s="14" t="s">
        <v>733</v>
      </c>
      <c r="C511" s="14"/>
      <c r="D511" s="9" t="s">
        <v>695</v>
      </c>
      <c r="E511" s="9" t="s">
        <v>723</v>
      </c>
      <c r="J511" s="13"/>
      <c r="K511" s="13"/>
    </row>
    <row r="512">
      <c r="A512" s="9">
        <v>298.0</v>
      </c>
      <c r="B512" s="14" t="s">
        <v>734</v>
      </c>
      <c r="C512" s="14"/>
      <c r="D512" s="9" t="s">
        <v>604</v>
      </c>
      <c r="E512" s="9" t="s">
        <v>735</v>
      </c>
      <c r="J512" s="13"/>
      <c r="K512" s="13"/>
    </row>
    <row r="513">
      <c r="A513" s="9">
        <v>299.0</v>
      </c>
      <c r="B513" s="14" t="s">
        <v>736</v>
      </c>
      <c r="C513" s="14"/>
      <c r="D513" s="9" t="s">
        <v>737</v>
      </c>
      <c r="E513" s="9" t="s">
        <v>735</v>
      </c>
      <c r="J513" s="13"/>
      <c r="K513" s="13"/>
    </row>
    <row r="514">
      <c r="A514" s="9">
        <v>300.0</v>
      </c>
      <c r="B514" s="14" t="s">
        <v>738</v>
      </c>
      <c r="C514" s="14"/>
      <c r="D514" s="9" t="s">
        <v>739</v>
      </c>
      <c r="E514" s="9" t="s">
        <v>735</v>
      </c>
      <c r="J514" s="13"/>
      <c r="K514" s="13"/>
    </row>
    <row r="515">
      <c r="A515" s="9">
        <v>301.0</v>
      </c>
      <c r="B515" s="14" t="s">
        <v>740</v>
      </c>
      <c r="C515" s="14"/>
      <c r="D515" s="9" t="s">
        <v>741</v>
      </c>
      <c r="E515" s="9" t="s">
        <v>735</v>
      </c>
      <c r="J515" s="13"/>
      <c r="K515" s="13"/>
    </row>
    <row r="516">
      <c r="A516" s="9">
        <v>302.0</v>
      </c>
      <c r="B516" s="14" t="s">
        <v>742</v>
      </c>
      <c r="C516" s="14"/>
      <c r="D516" s="9" t="s">
        <v>627</v>
      </c>
      <c r="E516" s="9" t="s">
        <v>735</v>
      </c>
      <c r="J516" s="13"/>
      <c r="K516" s="13"/>
    </row>
    <row r="517">
      <c r="A517" s="9">
        <v>303.0</v>
      </c>
      <c r="B517" s="14" t="s">
        <v>43</v>
      </c>
      <c r="C517" s="14"/>
      <c r="D517" s="9" t="s">
        <v>472</v>
      </c>
      <c r="E517" s="9" t="s">
        <v>735</v>
      </c>
      <c r="J517" s="13"/>
      <c r="K517" s="13"/>
    </row>
    <row r="518">
      <c r="A518" s="9">
        <v>304.0</v>
      </c>
      <c r="B518" s="14" t="s">
        <v>743</v>
      </c>
      <c r="C518" s="14"/>
      <c r="D518" s="9" t="s">
        <v>520</v>
      </c>
      <c r="E518" s="9" t="s">
        <v>735</v>
      </c>
      <c r="J518" s="13"/>
      <c r="K518" s="13"/>
    </row>
    <row r="519">
      <c r="A519" s="9">
        <v>305.0</v>
      </c>
      <c r="B519" s="14" t="s">
        <v>744</v>
      </c>
      <c r="C519" s="14"/>
      <c r="D519" s="9" t="s">
        <v>745</v>
      </c>
      <c r="E519" s="9" t="s">
        <v>735</v>
      </c>
      <c r="J519" s="13"/>
      <c r="K519" s="13"/>
    </row>
    <row r="520">
      <c r="A520" s="9">
        <v>306.0</v>
      </c>
      <c r="B520" s="14" t="s">
        <v>746</v>
      </c>
      <c r="C520" s="14"/>
      <c r="D520" s="9" t="s">
        <v>747</v>
      </c>
      <c r="E520" s="9" t="s">
        <v>735</v>
      </c>
      <c r="J520" s="13"/>
      <c r="K520" s="13"/>
    </row>
    <row r="521">
      <c r="A521" s="9">
        <v>307.0</v>
      </c>
      <c r="B521" s="14" t="s">
        <v>748</v>
      </c>
      <c r="C521" s="14"/>
      <c r="D521" s="9" t="s">
        <v>706</v>
      </c>
      <c r="E521" s="9" t="s">
        <v>749</v>
      </c>
      <c r="J521" s="13"/>
      <c r="K521" s="13"/>
    </row>
    <row r="522">
      <c r="A522" s="9">
        <v>308.0</v>
      </c>
      <c r="B522" s="14" t="s">
        <v>750</v>
      </c>
      <c r="C522" s="14"/>
      <c r="D522" s="9" t="s">
        <v>465</v>
      </c>
      <c r="E522" s="9" t="s">
        <v>749</v>
      </c>
      <c r="J522" s="13"/>
      <c r="K522" s="13"/>
    </row>
    <row r="523">
      <c r="A523" s="9">
        <v>309.0</v>
      </c>
      <c r="B523" s="14" t="s">
        <v>751</v>
      </c>
      <c r="C523" s="14"/>
      <c r="D523" s="9" t="s">
        <v>752</v>
      </c>
      <c r="E523" s="9" t="s">
        <v>749</v>
      </c>
      <c r="J523" s="13"/>
      <c r="K523" s="13"/>
    </row>
    <row r="524">
      <c r="A524" s="9">
        <v>310.0</v>
      </c>
      <c r="B524" s="14" t="s">
        <v>753</v>
      </c>
      <c r="C524" s="14"/>
      <c r="D524" s="9" t="s">
        <v>754</v>
      </c>
      <c r="E524" s="9" t="s">
        <v>749</v>
      </c>
      <c r="J524" s="13"/>
      <c r="K524" s="13"/>
    </row>
    <row r="525">
      <c r="A525" s="9">
        <v>311.0</v>
      </c>
      <c r="B525" s="14" t="s">
        <v>755</v>
      </c>
      <c r="C525" s="14"/>
      <c r="D525" s="9" t="s">
        <v>312</v>
      </c>
      <c r="E525" s="9" t="s">
        <v>749</v>
      </c>
      <c r="J525" s="13"/>
      <c r="K525" s="13"/>
    </row>
    <row r="526">
      <c r="A526" s="9">
        <v>312.0</v>
      </c>
      <c r="B526" s="14" t="s">
        <v>756</v>
      </c>
      <c r="C526" s="14"/>
      <c r="D526" s="9" t="s">
        <v>554</v>
      </c>
      <c r="E526" s="9" t="s">
        <v>749</v>
      </c>
      <c r="J526" s="13"/>
      <c r="K526" s="13"/>
    </row>
    <row r="527">
      <c r="A527" s="9">
        <v>313.0</v>
      </c>
      <c r="B527" s="14" t="s">
        <v>757</v>
      </c>
      <c r="C527" s="14"/>
      <c r="D527" s="9" t="s">
        <v>758</v>
      </c>
      <c r="E527" s="9" t="s">
        <v>749</v>
      </c>
      <c r="J527" s="13"/>
      <c r="K527" s="13"/>
    </row>
    <row r="528">
      <c r="A528" s="9">
        <v>314.0</v>
      </c>
      <c r="B528" s="14" t="s">
        <v>759</v>
      </c>
      <c r="C528" s="14"/>
      <c r="D528" s="9" t="s">
        <v>563</v>
      </c>
      <c r="E528" s="9" t="s">
        <v>749</v>
      </c>
      <c r="J528" s="13"/>
      <c r="K528" s="13"/>
    </row>
    <row r="529">
      <c r="A529" s="9">
        <v>315.0</v>
      </c>
      <c r="B529" s="14" t="s">
        <v>760</v>
      </c>
      <c r="C529" s="14"/>
      <c r="D529" s="9" t="s">
        <v>718</v>
      </c>
      <c r="E529" s="9" t="s">
        <v>749</v>
      </c>
      <c r="J529" s="13"/>
      <c r="K529" s="13"/>
    </row>
    <row r="530">
      <c r="A530" s="9">
        <v>316.0</v>
      </c>
      <c r="B530" s="14" t="s">
        <v>761</v>
      </c>
      <c r="C530" s="14"/>
      <c r="D530" s="9" t="s">
        <v>762</v>
      </c>
      <c r="E530" s="9" t="s">
        <v>749</v>
      </c>
      <c r="J530" s="13"/>
      <c r="K530" s="13"/>
    </row>
    <row r="531">
      <c r="A531" s="9">
        <v>317.0</v>
      </c>
      <c r="B531" s="14" t="s">
        <v>763</v>
      </c>
      <c r="C531" s="14"/>
      <c r="D531" s="9" t="s">
        <v>597</v>
      </c>
      <c r="E531" s="9" t="s">
        <v>749</v>
      </c>
      <c r="J531" s="13"/>
      <c r="K531" s="13"/>
    </row>
    <row r="532">
      <c r="A532" s="9">
        <v>318.0</v>
      </c>
      <c r="B532" s="14" t="s">
        <v>764</v>
      </c>
      <c r="C532" s="14"/>
      <c r="D532" s="9" t="s">
        <v>731</v>
      </c>
      <c r="E532" s="9" t="s">
        <v>749</v>
      </c>
      <c r="J532" s="13"/>
      <c r="K532" s="13"/>
    </row>
    <row r="533">
      <c r="A533" s="9">
        <v>319.0</v>
      </c>
      <c r="B533" s="14" t="s">
        <v>765</v>
      </c>
      <c r="C533" s="14"/>
      <c r="D533" s="9" t="s">
        <v>472</v>
      </c>
      <c r="E533" s="9" t="s">
        <v>766</v>
      </c>
      <c r="J533" s="13"/>
      <c r="K533" s="13"/>
    </row>
    <row r="534">
      <c r="A534" s="9">
        <v>320.0</v>
      </c>
      <c r="B534" s="14" t="s">
        <v>767</v>
      </c>
      <c r="C534" s="14"/>
      <c r="D534" s="9" t="s">
        <v>522</v>
      </c>
      <c r="E534" s="9" t="s">
        <v>766</v>
      </c>
      <c r="J534" s="13"/>
      <c r="K534" s="13"/>
    </row>
    <row r="535">
      <c r="A535" s="9">
        <v>321.0</v>
      </c>
      <c r="B535" s="14" t="s">
        <v>768</v>
      </c>
      <c r="C535" s="14"/>
      <c r="D535" s="9" t="s">
        <v>769</v>
      </c>
      <c r="E535" s="9" t="s">
        <v>766</v>
      </c>
      <c r="J535" s="13"/>
      <c r="K535" s="13"/>
    </row>
    <row r="536">
      <c r="A536" s="9">
        <v>322.0</v>
      </c>
      <c r="B536" s="14" t="s">
        <v>770</v>
      </c>
      <c r="C536" s="14"/>
      <c r="D536" s="9" t="s">
        <v>472</v>
      </c>
      <c r="E536" s="9" t="s">
        <v>766</v>
      </c>
      <c r="J536" s="13"/>
      <c r="K536" s="13"/>
    </row>
    <row r="537">
      <c r="A537" s="9">
        <v>323.0</v>
      </c>
      <c r="B537" s="14" t="s">
        <v>771</v>
      </c>
      <c r="C537" s="14"/>
      <c r="D537" s="9" t="s">
        <v>772</v>
      </c>
      <c r="E537" s="9" t="s">
        <v>766</v>
      </c>
      <c r="J537" s="13"/>
      <c r="K537" s="13"/>
    </row>
    <row r="538">
      <c r="A538" s="9">
        <v>324.0</v>
      </c>
      <c r="B538" s="14" t="s">
        <v>773</v>
      </c>
      <c r="C538" s="14"/>
      <c r="D538" s="9" t="s">
        <v>774</v>
      </c>
      <c r="E538" s="9" t="s">
        <v>766</v>
      </c>
      <c r="J538" s="13"/>
      <c r="K538" s="13"/>
    </row>
    <row r="539">
      <c r="A539" s="9">
        <v>325.0</v>
      </c>
      <c r="B539" s="14" t="s">
        <v>775</v>
      </c>
      <c r="C539" s="14"/>
      <c r="D539" s="9" t="s">
        <v>615</v>
      </c>
      <c r="E539" s="9" t="s">
        <v>766</v>
      </c>
      <c r="J539" s="13"/>
      <c r="K539" s="13"/>
    </row>
    <row r="540">
      <c r="A540" s="9">
        <v>326.0</v>
      </c>
      <c r="B540" s="14" t="s">
        <v>776</v>
      </c>
      <c r="C540" s="14"/>
      <c r="D540" s="9" t="s">
        <v>777</v>
      </c>
      <c r="E540" s="9" t="s">
        <v>766</v>
      </c>
      <c r="J540" s="13"/>
      <c r="K540" s="13"/>
    </row>
    <row r="541">
      <c r="A541" s="9">
        <v>327.0</v>
      </c>
      <c r="B541" s="14" t="s">
        <v>778</v>
      </c>
      <c r="C541" s="14"/>
      <c r="D541" s="9" t="s">
        <v>779</v>
      </c>
      <c r="E541" s="9" t="s">
        <v>766</v>
      </c>
      <c r="J541" s="13"/>
      <c r="K541" s="13"/>
    </row>
    <row r="542">
      <c r="A542" s="9">
        <v>328.0</v>
      </c>
      <c r="B542" s="14" t="s">
        <v>780</v>
      </c>
      <c r="C542" s="14"/>
      <c r="D542" s="9" t="s">
        <v>781</v>
      </c>
      <c r="E542" s="9" t="s">
        <v>766</v>
      </c>
      <c r="J542" s="13"/>
      <c r="K542" s="13"/>
    </row>
    <row r="543">
      <c r="A543" s="9">
        <v>329.0</v>
      </c>
      <c r="B543" s="14" t="s">
        <v>782</v>
      </c>
      <c r="C543" s="14"/>
      <c r="D543" s="9" t="s">
        <v>783</v>
      </c>
      <c r="E543" s="9" t="s">
        <v>766</v>
      </c>
      <c r="J543" s="13"/>
      <c r="K543" s="13"/>
    </row>
    <row r="544">
      <c r="A544" s="9">
        <v>330.0</v>
      </c>
      <c r="B544" s="14" t="s">
        <v>784</v>
      </c>
      <c r="C544" s="14"/>
      <c r="D544" s="9" t="s">
        <v>604</v>
      </c>
      <c r="E544" s="9" t="s">
        <v>766</v>
      </c>
      <c r="J544" s="13"/>
      <c r="K544" s="13"/>
    </row>
    <row r="545">
      <c r="A545" s="9">
        <v>331.0</v>
      </c>
      <c r="B545" s="14" t="s">
        <v>785</v>
      </c>
      <c r="C545" s="14"/>
      <c r="D545" s="9" t="s">
        <v>786</v>
      </c>
      <c r="E545" s="9" t="s">
        <v>787</v>
      </c>
      <c r="J545" s="13"/>
      <c r="K545" s="13"/>
    </row>
    <row r="546">
      <c r="A546" s="9">
        <v>332.0</v>
      </c>
      <c r="B546" s="14" t="s">
        <v>788</v>
      </c>
      <c r="C546" s="14"/>
      <c r="D546" s="9" t="s">
        <v>667</v>
      </c>
      <c r="E546" s="9" t="s">
        <v>787</v>
      </c>
      <c r="J546" s="13"/>
      <c r="K546" s="13"/>
    </row>
    <row r="547">
      <c r="A547" s="9">
        <v>333.0</v>
      </c>
      <c r="B547" s="14" t="s">
        <v>789</v>
      </c>
      <c r="C547" s="14"/>
      <c r="D547" s="9" t="s">
        <v>790</v>
      </c>
      <c r="E547" s="9" t="s">
        <v>787</v>
      </c>
      <c r="J547" s="13"/>
      <c r="K547" s="13"/>
    </row>
    <row r="548">
      <c r="A548" s="9">
        <v>334.0</v>
      </c>
      <c r="B548" s="14" t="s">
        <v>791</v>
      </c>
      <c r="C548" s="14"/>
      <c r="D548" s="9" t="s">
        <v>792</v>
      </c>
      <c r="E548" s="9" t="s">
        <v>787</v>
      </c>
      <c r="J548" s="13"/>
      <c r="K548" s="13"/>
    </row>
    <row r="549">
      <c r="A549" s="9">
        <v>335.0</v>
      </c>
      <c r="B549" s="14" t="s">
        <v>793</v>
      </c>
      <c r="C549" s="14"/>
      <c r="D549" s="9" t="s">
        <v>741</v>
      </c>
      <c r="E549" s="9" t="s">
        <v>787</v>
      </c>
      <c r="J549" s="13"/>
      <c r="K549" s="13"/>
    </row>
    <row r="550">
      <c r="A550" s="9">
        <v>336.0</v>
      </c>
      <c r="B550" s="14" t="s">
        <v>794</v>
      </c>
      <c r="C550" s="14"/>
      <c r="D550" s="9" t="s">
        <v>745</v>
      </c>
      <c r="E550" s="9" t="s">
        <v>787</v>
      </c>
      <c r="J550" s="13"/>
      <c r="K550" s="13"/>
    </row>
    <row r="551">
      <c r="A551" s="9">
        <v>337.0</v>
      </c>
      <c r="B551" s="14" t="s">
        <v>795</v>
      </c>
      <c r="C551" s="14"/>
      <c r="D551" s="9" t="s">
        <v>695</v>
      </c>
      <c r="E551" s="9" t="s">
        <v>787</v>
      </c>
      <c r="J551" s="13"/>
      <c r="K551" s="13"/>
    </row>
    <row r="552">
      <c r="A552" s="9">
        <v>338.0</v>
      </c>
      <c r="B552" s="14" t="s">
        <v>796</v>
      </c>
      <c r="C552" s="14"/>
      <c r="D552" s="9" t="s">
        <v>520</v>
      </c>
      <c r="E552" s="9" t="s">
        <v>787</v>
      </c>
      <c r="J552" s="13"/>
      <c r="K552" s="13"/>
    </row>
    <row r="553">
      <c r="A553" s="9">
        <v>339.0</v>
      </c>
      <c r="B553" s="14" t="s">
        <v>797</v>
      </c>
      <c r="C553" s="14"/>
      <c r="D553" s="9" t="s">
        <v>728</v>
      </c>
      <c r="E553" s="9" t="s">
        <v>787</v>
      </c>
      <c r="J553" s="13"/>
      <c r="K553" s="13"/>
    </row>
    <row r="554">
      <c r="A554" s="9">
        <v>340.0</v>
      </c>
      <c r="B554" s="14" t="s">
        <v>798</v>
      </c>
      <c r="C554" s="14"/>
      <c r="D554" s="9" t="s">
        <v>366</v>
      </c>
      <c r="E554" s="9" t="s">
        <v>787</v>
      </c>
      <c r="J554" s="13"/>
      <c r="K554" s="13"/>
    </row>
    <row r="555">
      <c r="A555" s="9">
        <v>341.0</v>
      </c>
      <c r="B555" s="14" t="s">
        <v>799</v>
      </c>
      <c r="C555" s="14"/>
      <c r="D555" s="9" t="s">
        <v>472</v>
      </c>
      <c r="E555" s="9" t="s">
        <v>787</v>
      </c>
      <c r="J555" s="13"/>
      <c r="K555" s="13"/>
    </row>
    <row r="556">
      <c r="A556" s="9">
        <v>342.0</v>
      </c>
      <c r="B556" s="14" t="s">
        <v>800</v>
      </c>
      <c r="C556" s="14"/>
      <c r="D556" s="9" t="s">
        <v>604</v>
      </c>
      <c r="E556" s="9" t="s">
        <v>787</v>
      </c>
      <c r="J556" s="13"/>
      <c r="K556" s="13"/>
    </row>
    <row r="557">
      <c r="A557" s="9">
        <v>343.0</v>
      </c>
      <c r="B557" s="14" t="s">
        <v>801</v>
      </c>
      <c r="C557" s="14"/>
      <c r="D557" s="9" t="s">
        <v>802</v>
      </c>
      <c r="E557" s="9" t="s">
        <v>787</v>
      </c>
      <c r="J557" s="13"/>
      <c r="K557" s="13"/>
    </row>
    <row r="558">
      <c r="A558" s="9">
        <v>344.0</v>
      </c>
      <c r="B558" s="14" t="s">
        <v>803</v>
      </c>
      <c r="C558" s="14"/>
      <c r="D558" s="9" t="s">
        <v>804</v>
      </c>
      <c r="E558" s="9" t="s">
        <v>805</v>
      </c>
      <c r="J558" s="13"/>
      <c r="K558" s="13"/>
    </row>
    <row r="559">
      <c r="A559" s="9">
        <v>345.0</v>
      </c>
      <c r="B559" s="14" t="s">
        <v>806</v>
      </c>
      <c r="C559" s="14"/>
      <c r="D559" s="9" t="s">
        <v>807</v>
      </c>
      <c r="E559" s="9" t="s">
        <v>805</v>
      </c>
      <c r="J559" s="13"/>
      <c r="K559" s="13"/>
    </row>
    <row r="560">
      <c r="A560" s="9">
        <v>346.0</v>
      </c>
      <c r="B560" s="14" t="s">
        <v>808</v>
      </c>
      <c r="C560" s="14"/>
      <c r="D560" s="9" t="s">
        <v>741</v>
      </c>
      <c r="E560" s="9" t="s">
        <v>805</v>
      </c>
      <c r="J560" s="13"/>
      <c r="K560" s="13"/>
    </row>
    <row r="561">
      <c r="A561" s="9">
        <v>347.0</v>
      </c>
      <c r="B561" s="14" t="s">
        <v>809</v>
      </c>
      <c r="C561" s="14"/>
      <c r="D561" s="9" t="s">
        <v>627</v>
      </c>
      <c r="E561" s="9" t="s">
        <v>805</v>
      </c>
      <c r="J561" s="13"/>
      <c r="K561" s="13"/>
    </row>
    <row r="562">
      <c r="A562" s="9">
        <v>348.0</v>
      </c>
      <c r="B562" s="14" t="s">
        <v>810</v>
      </c>
      <c r="C562" s="14"/>
      <c r="D562" s="9" t="s">
        <v>811</v>
      </c>
      <c r="E562" s="9" t="s">
        <v>805</v>
      </c>
      <c r="J562" s="13"/>
      <c r="K562" s="13"/>
    </row>
    <row r="563">
      <c r="A563" s="9">
        <v>349.0</v>
      </c>
      <c r="B563" s="14" t="s">
        <v>812</v>
      </c>
      <c r="C563" s="14"/>
      <c r="D563" s="9" t="s">
        <v>813</v>
      </c>
      <c r="E563" s="9" t="s">
        <v>805</v>
      </c>
      <c r="J563" s="13"/>
      <c r="K563" s="13"/>
    </row>
    <row r="564">
      <c r="A564" s="9">
        <v>350.0</v>
      </c>
      <c r="B564" s="14" t="s">
        <v>814</v>
      </c>
      <c r="C564" s="14"/>
      <c r="D564" s="9" t="s">
        <v>815</v>
      </c>
      <c r="E564" s="9" t="s">
        <v>805</v>
      </c>
      <c r="J564" s="13"/>
      <c r="K564" s="13"/>
    </row>
    <row r="565">
      <c r="A565" s="9">
        <v>351.0</v>
      </c>
      <c r="B565" s="14" t="s">
        <v>816</v>
      </c>
      <c r="C565" s="14"/>
      <c r="D565" s="9" t="s">
        <v>731</v>
      </c>
      <c r="E565" s="9" t="s">
        <v>805</v>
      </c>
      <c r="J565" s="13"/>
      <c r="K565" s="13"/>
    </row>
    <row r="566">
      <c r="A566" s="9">
        <v>352.0</v>
      </c>
      <c r="B566" s="14" t="s">
        <v>817</v>
      </c>
      <c r="C566" s="14"/>
      <c r="D566" s="9" t="s">
        <v>779</v>
      </c>
      <c r="E566" s="9" t="s">
        <v>805</v>
      </c>
      <c r="J566" s="13"/>
      <c r="K566" s="13"/>
    </row>
    <row r="567">
      <c r="A567" s="9">
        <v>353.0</v>
      </c>
      <c r="B567" s="14" t="s">
        <v>818</v>
      </c>
      <c r="C567" s="14"/>
      <c r="D567" s="9" t="s">
        <v>819</v>
      </c>
      <c r="E567" s="9" t="s">
        <v>805</v>
      </c>
      <c r="J567" s="13"/>
      <c r="K567" s="13"/>
    </row>
    <row r="568">
      <c r="A568" s="9">
        <v>354.0</v>
      </c>
      <c r="B568" s="14" t="s">
        <v>820</v>
      </c>
      <c r="C568" s="14"/>
      <c r="D568" s="9" t="s">
        <v>821</v>
      </c>
      <c r="E568" s="9" t="s">
        <v>805</v>
      </c>
      <c r="J568" s="13"/>
      <c r="K568" s="13"/>
    </row>
    <row r="569">
      <c r="A569" s="9">
        <v>355.0</v>
      </c>
      <c r="B569" s="14" t="s">
        <v>822</v>
      </c>
      <c r="C569" s="14"/>
      <c r="D569" s="9" t="s">
        <v>781</v>
      </c>
      <c r="E569" s="9" t="s">
        <v>805</v>
      </c>
      <c r="J569" s="13"/>
      <c r="K569" s="13"/>
    </row>
    <row r="570">
      <c r="A570" s="9">
        <v>356.0</v>
      </c>
      <c r="B570" s="14" t="s">
        <v>823</v>
      </c>
      <c r="C570" s="14"/>
      <c r="D570" s="9" t="s">
        <v>824</v>
      </c>
      <c r="E570" s="9" t="s">
        <v>805</v>
      </c>
      <c r="J570" s="13"/>
      <c r="K570" s="13"/>
    </row>
    <row r="571">
      <c r="A571" s="9">
        <v>357.0</v>
      </c>
      <c r="B571" s="14" t="s">
        <v>825</v>
      </c>
      <c r="C571" s="14"/>
      <c r="D571" s="9" t="s">
        <v>472</v>
      </c>
      <c r="E571" s="9" t="s">
        <v>826</v>
      </c>
      <c r="J571" s="13"/>
      <c r="K571" s="13"/>
    </row>
    <row r="572">
      <c r="A572" s="9">
        <v>358.0</v>
      </c>
      <c r="B572" s="14" t="s">
        <v>827</v>
      </c>
      <c r="C572" s="14"/>
      <c r="D572" s="9" t="s">
        <v>667</v>
      </c>
      <c r="E572" s="9" t="s">
        <v>826</v>
      </c>
      <c r="J572" s="13"/>
      <c r="K572" s="13"/>
    </row>
    <row r="573">
      <c r="A573" s="9">
        <v>359.0</v>
      </c>
      <c r="B573" s="14" t="s">
        <v>828</v>
      </c>
      <c r="C573" s="14"/>
      <c r="D573" s="9" t="s">
        <v>728</v>
      </c>
      <c r="E573" s="9" t="s">
        <v>826</v>
      </c>
      <c r="J573" s="13"/>
      <c r="K573" s="13"/>
    </row>
    <row r="574">
      <c r="A574" s="9">
        <v>360.0</v>
      </c>
      <c r="B574" s="14" t="s">
        <v>829</v>
      </c>
      <c r="C574" s="14"/>
      <c r="D574" s="9" t="s">
        <v>830</v>
      </c>
      <c r="E574" s="9" t="s">
        <v>826</v>
      </c>
      <c r="J574" s="13"/>
      <c r="K574" s="13"/>
    </row>
    <row r="575">
      <c r="A575" s="9">
        <v>361.0</v>
      </c>
      <c r="B575" s="14" t="s">
        <v>831</v>
      </c>
      <c r="C575" s="14"/>
      <c r="D575" s="9" t="s">
        <v>832</v>
      </c>
      <c r="E575" s="9" t="s">
        <v>826</v>
      </c>
      <c r="J575" s="13"/>
      <c r="K575" s="13"/>
    </row>
    <row r="576">
      <c r="A576" s="9">
        <v>362.0</v>
      </c>
      <c r="B576" s="14" t="s">
        <v>833</v>
      </c>
      <c r="C576" s="14"/>
      <c r="D576" s="9" t="s">
        <v>834</v>
      </c>
      <c r="E576" s="9" t="s">
        <v>826</v>
      </c>
      <c r="J576" s="13"/>
      <c r="K576" s="13"/>
    </row>
    <row r="577">
      <c r="A577" s="9">
        <v>363.0</v>
      </c>
      <c r="B577" s="14" t="s">
        <v>835</v>
      </c>
      <c r="C577" s="14"/>
      <c r="D577" s="9" t="s">
        <v>836</v>
      </c>
      <c r="E577" s="9" t="s">
        <v>826</v>
      </c>
      <c r="J577" s="13"/>
      <c r="K577" s="13"/>
    </row>
    <row r="578">
      <c r="A578" s="9">
        <v>364.0</v>
      </c>
      <c r="B578" s="14" t="s">
        <v>837</v>
      </c>
      <c r="C578" s="14"/>
      <c r="D578" s="9" t="s">
        <v>769</v>
      </c>
      <c r="E578" s="9" t="s">
        <v>826</v>
      </c>
      <c r="J578" s="13"/>
      <c r="K578" s="13"/>
    </row>
    <row r="579">
      <c r="A579" s="9">
        <v>365.0</v>
      </c>
      <c r="B579" s="14" t="s">
        <v>838</v>
      </c>
      <c r="C579" s="14"/>
      <c r="D579" s="9" t="s">
        <v>774</v>
      </c>
      <c r="E579" s="9" t="s">
        <v>826</v>
      </c>
      <c r="J579" s="13"/>
      <c r="K579" s="13"/>
    </row>
    <row r="580">
      <c r="A580" s="9">
        <v>366.0</v>
      </c>
      <c r="B580" s="14" t="s">
        <v>839</v>
      </c>
      <c r="C580" s="14"/>
      <c r="D580" s="9" t="s">
        <v>604</v>
      </c>
      <c r="E580" s="9" t="s">
        <v>826</v>
      </c>
      <c r="J580" s="13"/>
      <c r="K580" s="13"/>
    </row>
    <row r="581">
      <c r="A581" s="9">
        <v>367.0</v>
      </c>
      <c r="B581" s="14" t="s">
        <v>840</v>
      </c>
      <c r="C581" s="14"/>
      <c r="D581" s="9" t="s">
        <v>841</v>
      </c>
      <c r="E581" s="9" t="s">
        <v>826</v>
      </c>
      <c r="J581" s="13"/>
      <c r="K581" s="13"/>
    </row>
    <row r="582">
      <c r="A582" s="9">
        <v>368.0</v>
      </c>
      <c r="B582" s="14" t="s">
        <v>842</v>
      </c>
      <c r="C582" s="14"/>
      <c r="D582" s="9" t="s">
        <v>490</v>
      </c>
      <c r="E582" s="9" t="s">
        <v>826</v>
      </c>
      <c r="J582" s="13"/>
      <c r="K582" s="13"/>
    </row>
    <row r="583">
      <c r="A583" s="9">
        <v>369.0</v>
      </c>
      <c r="B583" s="14" t="s">
        <v>843</v>
      </c>
      <c r="C583" s="14"/>
      <c r="D583" s="9" t="s">
        <v>844</v>
      </c>
      <c r="E583" s="9" t="s">
        <v>826</v>
      </c>
      <c r="J583" s="13"/>
      <c r="K583" s="13"/>
    </row>
    <row r="584">
      <c r="A584" s="9">
        <v>370.0</v>
      </c>
      <c r="B584" s="14" t="s">
        <v>845</v>
      </c>
      <c r="C584" s="14"/>
      <c r="D584" s="9" t="s">
        <v>846</v>
      </c>
      <c r="E584" s="9" t="s">
        <v>826</v>
      </c>
      <c r="J584" s="13"/>
      <c r="K584" s="13"/>
    </row>
    <row r="585">
      <c r="A585" s="9">
        <v>371.0</v>
      </c>
      <c r="B585" s="14" t="s">
        <v>847</v>
      </c>
      <c r="C585" s="14"/>
      <c r="D585" s="9" t="s">
        <v>465</v>
      </c>
      <c r="E585" s="9" t="s">
        <v>826</v>
      </c>
      <c r="J585" s="13"/>
      <c r="K585" s="13"/>
    </row>
    <row r="586">
      <c r="A586" s="9">
        <v>372.0</v>
      </c>
      <c r="B586" s="14" t="s">
        <v>848</v>
      </c>
      <c r="C586" s="14"/>
      <c r="D586" s="9" t="s">
        <v>615</v>
      </c>
      <c r="E586" s="9" t="s">
        <v>826</v>
      </c>
      <c r="J586" s="13"/>
      <c r="K586" s="13"/>
    </row>
    <row r="587">
      <c r="A587" s="9">
        <v>373.0</v>
      </c>
      <c r="B587" s="14" t="s">
        <v>849</v>
      </c>
      <c r="C587" s="14"/>
      <c r="D587" s="9" t="s">
        <v>850</v>
      </c>
      <c r="E587" s="9" t="s">
        <v>826</v>
      </c>
      <c r="J587" s="13"/>
      <c r="K587" s="13"/>
    </row>
    <row r="588">
      <c r="A588" s="9">
        <v>374.0</v>
      </c>
      <c r="B588" s="14" t="s">
        <v>851</v>
      </c>
      <c r="C588" s="14"/>
      <c r="D588" s="9" t="s">
        <v>563</v>
      </c>
      <c r="E588" s="9" t="s">
        <v>826</v>
      </c>
      <c r="J588" s="13"/>
      <c r="K588" s="13"/>
    </row>
    <row r="589">
      <c r="A589" s="9">
        <v>375.0</v>
      </c>
      <c r="B589" s="14" t="s">
        <v>852</v>
      </c>
      <c r="C589" s="14"/>
      <c r="D589" s="9" t="s">
        <v>754</v>
      </c>
      <c r="E589" s="9" t="s">
        <v>853</v>
      </c>
      <c r="J589" s="13"/>
      <c r="K589" s="13"/>
    </row>
    <row r="590">
      <c r="A590" s="9">
        <v>376.0</v>
      </c>
      <c r="B590" s="14" t="s">
        <v>854</v>
      </c>
      <c r="C590" s="14"/>
      <c r="D590" s="9" t="s">
        <v>855</v>
      </c>
      <c r="E590" s="9" t="s">
        <v>853</v>
      </c>
      <c r="J590" s="13"/>
      <c r="K590" s="13"/>
    </row>
    <row r="591">
      <c r="A591" s="9">
        <v>377.0</v>
      </c>
      <c r="B591" s="14" t="s">
        <v>856</v>
      </c>
      <c r="C591" s="14"/>
      <c r="D591" s="10" t="s">
        <v>857</v>
      </c>
      <c r="E591" s="9" t="s">
        <v>853</v>
      </c>
      <c r="J591" s="13"/>
      <c r="K591" s="13"/>
    </row>
    <row r="592">
      <c r="A592" s="9"/>
      <c r="B592" s="14"/>
      <c r="C592" s="14"/>
      <c r="D592" s="10" t="s">
        <v>858</v>
      </c>
      <c r="E592" s="9"/>
      <c r="J592" s="13"/>
      <c r="K592" s="13"/>
    </row>
    <row r="593">
      <c r="A593" s="9">
        <v>378.0</v>
      </c>
      <c r="B593" s="14" t="s">
        <v>859</v>
      </c>
      <c r="C593" s="14"/>
      <c r="D593" s="10" t="s">
        <v>860</v>
      </c>
      <c r="E593" s="9" t="s">
        <v>853</v>
      </c>
      <c r="J593" s="13"/>
      <c r="K593" s="13"/>
    </row>
    <row r="594">
      <c r="A594" s="9"/>
      <c r="B594" s="14"/>
      <c r="C594" s="14"/>
      <c r="D594" s="10" t="s">
        <v>861</v>
      </c>
      <c r="E594" s="9"/>
      <c r="J594" s="13"/>
      <c r="K594" s="13"/>
    </row>
    <row r="595">
      <c r="A595" s="9">
        <v>379.0</v>
      </c>
      <c r="B595" s="14" t="s">
        <v>862</v>
      </c>
      <c r="C595" s="14"/>
      <c r="D595" s="9" t="s">
        <v>832</v>
      </c>
      <c r="E595" s="9" t="s">
        <v>853</v>
      </c>
      <c r="J595" s="13"/>
      <c r="K595" s="13"/>
    </row>
    <row r="596">
      <c r="A596" s="9">
        <v>380.0</v>
      </c>
      <c r="B596" s="14" t="s">
        <v>863</v>
      </c>
      <c r="C596" s="14"/>
      <c r="D596" s="9" t="s">
        <v>864</v>
      </c>
      <c r="E596" s="9" t="s">
        <v>853</v>
      </c>
      <c r="J596" s="13"/>
      <c r="K596" s="13"/>
    </row>
    <row r="597">
      <c r="A597" s="9">
        <v>381.0</v>
      </c>
      <c r="B597" s="14" t="s">
        <v>865</v>
      </c>
      <c r="C597" s="14"/>
      <c r="D597" s="9" t="s">
        <v>821</v>
      </c>
      <c r="E597" s="9" t="s">
        <v>853</v>
      </c>
      <c r="J597" s="13"/>
      <c r="K597" s="13"/>
    </row>
    <row r="598">
      <c r="A598" s="9">
        <v>382.0</v>
      </c>
      <c r="B598" s="14" t="s">
        <v>866</v>
      </c>
      <c r="C598" s="14"/>
      <c r="D598" s="9" t="s">
        <v>802</v>
      </c>
      <c r="E598" s="9" t="s">
        <v>853</v>
      </c>
      <c r="J598" s="13"/>
      <c r="K598" s="13"/>
    </row>
    <row r="599">
      <c r="A599" s="9">
        <v>383.0</v>
      </c>
      <c r="B599" s="14" t="s">
        <v>867</v>
      </c>
      <c r="C599" s="14"/>
      <c r="D599" s="9" t="s">
        <v>706</v>
      </c>
      <c r="E599" s="9" t="s">
        <v>853</v>
      </c>
      <c r="J599" s="13"/>
      <c r="K599" s="13"/>
    </row>
    <row r="600">
      <c r="A600" s="9">
        <v>384.0</v>
      </c>
      <c r="B600" s="14" t="s">
        <v>868</v>
      </c>
      <c r="C600" s="14"/>
      <c r="D600" s="9" t="s">
        <v>869</v>
      </c>
      <c r="E600" s="9" t="s">
        <v>853</v>
      </c>
      <c r="J600" s="13"/>
      <c r="K600" s="13"/>
    </row>
    <row r="601">
      <c r="A601" s="9">
        <v>385.0</v>
      </c>
      <c r="B601" s="14" t="s">
        <v>870</v>
      </c>
      <c r="C601" s="14"/>
      <c r="D601" s="9" t="s">
        <v>871</v>
      </c>
      <c r="E601" s="9" t="s">
        <v>853</v>
      </c>
      <c r="J601" s="13"/>
      <c r="K601" s="13"/>
    </row>
    <row r="602">
      <c r="A602" s="9">
        <v>386.0</v>
      </c>
      <c r="B602" s="14" t="s">
        <v>872</v>
      </c>
      <c r="C602" s="14"/>
      <c r="D602" s="10" t="s">
        <v>873</v>
      </c>
      <c r="E602" s="9" t="s">
        <v>853</v>
      </c>
      <c r="J602" s="13"/>
      <c r="K602" s="13"/>
    </row>
    <row r="603">
      <c r="A603" s="9"/>
      <c r="B603" s="14"/>
      <c r="C603" s="14"/>
      <c r="D603" s="10" t="s">
        <v>874</v>
      </c>
      <c r="E603" s="9"/>
      <c r="J603" s="13"/>
      <c r="K603" s="13"/>
    </row>
    <row r="604">
      <c r="A604" s="9">
        <v>387.0</v>
      </c>
      <c r="B604" s="14" t="s">
        <v>875</v>
      </c>
      <c r="C604" s="14"/>
      <c r="D604" s="9" t="s">
        <v>876</v>
      </c>
      <c r="E604" s="9" t="s">
        <v>877</v>
      </c>
      <c r="J604" s="13"/>
      <c r="K604" s="13"/>
    </row>
    <row r="605">
      <c r="A605" s="9">
        <v>388.0</v>
      </c>
      <c r="B605" s="14" t="s">
        <v>878</v>
      </c>
      <c r="C605" s="14"/>
      <c r="D605" s="9" t="s">
        <v>879</v>
      </c>
      <c r="E605" s="9" t="s">
        <v>877</v>
      </c>
      <c r="J605" s="13"/>
      <c r="K605" s="13"/>
    </row>
    <row r="606">
      <c r="A606" s="9">
        <v>389.0</v>
      </c>
      <c r="B606" s="14" t="s">
        <v>880</v>
      </c>
      <c r="C606" s="14"/>
      <c r="D606" s="9" t="s">
        <v>520</v>
      </c>
      <c r="E606" s="9" t="s">
        <v>877</v>
      </c>
      <c r="J606" s="13"/>
      <c r="K606" s="13"/>
    </row>
    <row r="607">
      <c r="A607" s="9">
        <v>390.0</v>
      </c>
      <c r="B607" s="14" t="s">
        <v>881</v>
      </c>
      <c r="C607" s="14"/>
      <c r="D607" s="9" t="s">
        <v>882</v>
      </c>
      <c r="E607" s="9" t="s">
        <v>877</v>
      </c>
      <c r="J607" s="13"/>
      <c r="K607" s="13"/>
    </row>
    <row r="608">
      <c r="A608" s="9">
        <v>391.0</v>
      </c>
      <c r="B608" s="14" t="s">
        <v>883</v>
      </c>
      <c r="C608" s="14"/>
      <c r="D608" s="9" t="s">
        <v>790</v>
      </c>
      <c r="E608" s="9" t="s">
        <v>877</v>
      </c>
      <c r="J608" s="13"/>
      <c r="K608" s="13"/>
    </row>
    <row r="609">
      <c r="A609" s="9">
        <v>392.0</v>
      </c>
      <c r="B609" s="14" t="s">
        <v>884</v>
      </c>
      <c r="C609" s="14"/>
      <c r="D609" s="9" t="s">
        <v>885</v>
      </c>
      <c r="E609" s="9" t="s">
        <v>877</v>
      </c>
      <c r="J609" s="13"/>
      <c r="K609" s="13"/>
    </row>
    <row r="610">
      <c r="A610" s="9">
        <v>393.0</v>
      </c>
      <c r="B610" s="14" t="s">
        <v>886</v>
      </c>
      <c r="C610" s="14"/>
      <c r="D610" s="9" t="s">
        <v>772</v>
      </c>
      <c r="E610" s="9" t="s">
        <v>877</v>
      </c>
      <c r="J610" s="13"/>
      <c r="K610" s="13"/>
    </row>
    <row r="611">
      <c r="A611" s="9">
        <v>394.0</v>
      </c>
      <c r="B611" s="14" t="s">
        <v>887</v>
      </c>
      <c r="C611" s="14"/>
      <c r="D611" s="9" t="s">
        <v>731</v>
      </c>
      <c r="E611" s="9" t="s">
        <v>877</v>
      </c>
      <c r="J611" s="13"/>
      <c r="K611" s="13"/>
    </row>
    <row r="612">
      <c r="A612" s="9">
        <v>395.0</v>
      </c>
      <c r="B612" s="14" t="s">
        <v>888</v>
      </c>
      <c r="C612" s="14"/>
      <c r="D612" s="9" t="s">
        <v>811</v>
      </c>
      <c r="E612" s="9" t="s">
        <v>877</v>
      </c>
      <c r="J612" s="13"/>
      <c r="K612" s="13"/>
    </row>
    <row r="613">
      <c r="A613" s="9">
        <v>396.0</v>
      </c>
      <c r="B613" s="14" t="s">
        <v>889</v>
      </c>
      <c r="C613" s="14"/>
      <c r="D613" s="9" t="s">
        <v>490</v>
      </c>
      <c r="E613" s="9" t="s">
        <v>877</v>
      </c>
      <c r="J613" s="13"/>
      <c r="K613" s="13"/>
    </row>
    <row r="614">
      <c r="A614" s="9">
        <v>397.0</v>
      </c>
      <c r="B614" s="14" t="s">
        <v>890</v>
      </c>
      <c r="C614" s="14"/>
      <c r="D614" s="9" t="s">
        <v>685</v>
      </c>
      <c r="E614" s="9" t="s">
        <v>877</v>
      </c>
      <c r="J614" s="13"/>
      <c r="K614" s="13"/>
    </row>
    <row r="615">
      <c r="A615" s="9">
        <v>398.0</v>
      </c>
      <c r="B615" s="14" t="s">
        <v>891</v>
      </c>
      <c r="C615" s="14"/>
      <c r="D615" s="9" t="s">
        <v>892</v>
      </c>
      <c r="E615" s="9" t="s">
        <v>877</v>
      </c>
      <c r="J615" s="13"/>
      <c r="K615" s="13"/>
    </row>
    <row r="616">
      <c r="A616" s="9">
        <v>399.0</v>
      </c>
      <c r="B616" s="14" t="s">
        <v>893</v>
      </c>
      <c r="C616" s="14"/>
      <c r="D616" s="9" t="s">
        <v>894</v>
      </c>
      <c r="E616" s="9" t="s">
        <v>877</v>
      </c>
      <c r="J616" s="13"/>
      <c r="K616" s="13"/>
    </row>
    <row r="617">
      <c r="A617" s="9">
        <v>400.0</v>
      </c>
      <c r="B617" s="14" t="s">
        <v>895</v>
      </c>
      <c r="C617" s="14"/>
      <c r="D617" s="9" t="s">
        <v>896</v>
      </c>
      <c r="E617" s="9" t="s">
        <v>877</v>
      </c>
      <c r="J617" s="13"/>
      <c r="K617" s="13"/>
    </row>
    <row r="618">
      <c r="A618" s="9">
        <v>401.0</v>
      </c>
      <c r="B618" s="14" t="s">
        <v>897</v>
      </c>
      <c r="C618" s="14"/>
      <c r="D618" s="9" t="s">
        <v>898</v>
      </c>
      <c r="E618" s="9" t="s">
        <v>877</v>
      </c>
      <c r="J618" s="13"/>
      <c r="K618" s="13"/>
    </row>
    <row r="619">
      <c r="A619" s="9">
        <v>402.0</v>
      </c>
      <c r="B619" s="14" t="s">
        <v>899</v>
      </c>
      <c r="C619" s="14"/>
      <c r="D619" s="9" t="s">
        <v>745</v>
      </c>
      <c r="E619" s="9" t="s">
        <v>900</v>
      </c>
      <c r="J619" s="13"/>
      <c r="K619" s="13"/>
    </row>
    <row r="620">
      <c r="A620" s="9">
        <v>403.0</v>
      </c>
      <c r="B620" s="14" t="s">
        <v>901</v>
      </c>
      <c r="C620" s="14"/>
      <c r="D620" s="9" t="s">
        <v>902</v>
      </c>
      <c r="E620" s="9" t="s">
        <v>900</v>
      </c>
      <c r="J620" s="13"/>
      <c r="K620" s="13"/>
    </row>
    <row r="621">
      <c r="A621" s="9">
        <v>404.0</v>
      </c>
      <c r="B621" s="14" t="s">
        <v>903</v>
      </c>
      <c r="C621" s="14"/>
      <c r="D621" s="9" t="s">
        <v>522</v>
      </c>
      <c r="E621" s="9" t="s">
        <v>900</v>
      </c>
      <c r="J621" s="13"/>
      <c r="K621" s="13"/>
    </row>
    <row r="622">
      <c r="A622" s="9">
        <v>405.0</v>
      </c>
      <c r="B622" s="14" t="s">
        <v>904</v>
      </c>
      <c r="C622" s="14"/>
      <c r="D622" s="9" t="s">
        <v>824</v>
      </c>
      <c r="E622" s="9" t="s">
        <v>900</v>
      </c>
      <c r="J622" s="13"/>
      <c r="K622" s="13"/>
    </row>
    <row r="623">
      <c r="A623" s="9">
        <v>406.0</v>
      </c>
      <c r="B623" s="14" t="s">
        <v>905</v>
      </c>
      <c r="C623" s="14"/>
      <c r="D623" s="9" t="s">
        <v>554</v>
      </c>
      <c r="E623" s="9" t="s">
        <v>900</v>
      </c>
      <c r="J623" s="13"/>
      <c r="K623" s="13"/>
    </row>
    <row r="624">
      <c r="A624" s="9">
        <v>407.0</v>
      </c>
      <c r="B624" s="14" t="s">
        <v>906</v>
      </c>
      <c r="C624" s="14"/>
      <c r="D624" s="9" t="s">
        <v>472</v>
      </c>
      <c r="E624" s="9" t="s">
        <v>900</v>
      </c>
      <c r="J624" s="13"/>
      <c r="K624" s="13"/>
    </row>
    <row r="625">
      <c r="A625" s="9">
        <v>408.0</v>
      </c>
      <c r="B625" s="14" t="s">
        <v>907</v>
      </c>
      <c r="C625" s="14"/>
      <c r="D625" s="9" t="s">
        <v>841</v>
      </c>
      <c r="E625" s="9" t="s">
        <v>900</v>
      </c>
      <c r="J625" s="13"/>
      <c r="K625" s="13"/>
    </row>
    <row r="626">
      <c r="A626" s="9">
        <v>409.0</v>
      </c>
      <c r="B626" s="14" t="s">
        <v>908</v>
      </c>
      <c r="C626" s="14"/>
      <c r="D626" s="9" t="s">
        <v>909</v>
      </c>
      <c r="E626" s="9" t="s">
        <v>900</v>
      </c>
      <c r="J626" s="13"/>
      <c r="K626" s="13"/>
    </row>
    <row r="627">
      <c r="A627" s="9">
        <v>410.0</v>
      </c>
      <c r="B627" s="14" t="s">
        <v>910</v>
      </c>
      <c r="C627" s="14"/>
      <c r="D627" s="9" t="s">
        <v>911</v>
      </c>
      <c r="E627" s="9" t="s">
        <v>900</v>
      </c>
      <c r="J627" s="13"/>
      <c r="K627" s="13"/>
    </row>
    <row r="628">
      <c r="A628" s="9">
        <v>411.0</v>
      </c>
      <c r="B628" s="14" t="s">
        <v>912</v>
      </c>
      <c r="C628" s="14"/>
      <c r="D628" s="9" t="s">
        <v>913</v>
      </c>
      <c r="E628" s="9" t="s">
        <v>900</v>
      </c>
      <c r="J628" s="13"/>
      <c r="K628" s="13"/>
    </row>
    <row r="629">
      <c r="A629" s="9">
        <v>412.0</v>
      </c>
      <c r="B629" s="14" t="s">
        <v>914</v>
      </c>
      <c r="C629" s="14"/>
      <c r="D629" s="9" t="s">
        <v>915</v>
      </c>
      <c r="E629" s="9" t="s">
        <v>900</v>
      </c>
      <c r="J629" s="13"/>
      <c r="K629" s="13"/>
    </row>
    <row r="630">
      <c r="A630" s="9">
        <v>413.0</v>
      </c>
      <c r="B630" s="14" t="s">
        <v>916</v>
      </c>
      <c r="C630" s="14"/>
      <c r="D630" s="9" t="s">
        <v>917</v>
      </c>
      <c r="E630" s="9" t="s">
        <v>900</v>
      </c>
      <c r="J630" s="13"/>
      <c r="K630" s="13"/>
    </row>
    <row r="631">
      <c r="A631" s="9">
        <v>414.0</v>
      </c>
      <c r="B631" s="14" t="s">
        <v>918</v>
      </c>
      <c r="C631" s="14"/>
      <c r="D631" s="9" t="s">
        <v>604</v>
      </c>
      <c r="E631" s="9" t="s">
        <v>919</v>
      </c>
      <c r="J631" s="13"/>
      <c r="K631" s="13"/>
    </row>
    <row r="632">
      <c r="A632" s="9">
        <v>415.0</v>
      </c>
      <c r="B632" s="14" t="s">
        <v>920</v>
      </c>
      <c r="C632" s="14"/>
      <c r="D632" s="9" t="s">
        <v>667</v>
      </c>
      <c r="E632" s="9" t="s">
        <v>919</v>
      </c>
      <c r="J632" s="13"/>
      <c r="K632" s="13"/>
    </row>
    <row r="633">
      <c r="A633" s="9">
        <v>416.0</v>
      </c>
      <c r="B633" s="14" t="s">
        <v>921</v>
      </c>
      <c r="C633" s="14"/>
      <c r="D633" s="9" t="s">
        <v>312</v>
      </c>
      <c r="E633" s="9" t="s">
        <v>919</v>
      </c>
      <c r="J633" s="13"/>
      <c r="K633" s="13"/>
    </row>
    <row r="634">
      <c r="A634" s="9">
        <v>417.0</v>
      </c>
      <c r="B634" s="14" t="s">
        <v>922</v>
      </c>
      <c r="C634" s="14"/>
      <c r="D634" s="9" t="s">
        <v>923</v>
      </c>
      <c r="E634" s="9" t="s">
        <v>919</v>
      </c>
      <c r="J634" s="13"/>
      <c r="K634" s="13"/>
    </row>
    <row r="635">
      <c r="A635" s="9">
        <v>418.0</v>
      </c>
      <c r="B635" s="14" t="s">
        <v>924</v>
      </c>
      <c r="C635" s="14"/>
      <c r="D635" s="9" t="s">
        <v>925</v>
      </c>
      <c r="E635" s="9" t="s">
        <v>919</v>
      </c>
      <c r="J635" s="13"/>
      <c r="K635" s="13"/>
    </row>
    <row r="636">
      <c r="A636" s="9">
        <v>419.0</v>
      </c>
      <c r="B636" s="14" t="s">
        <v>926</v>
      </c>
      <c r="C636" s="14"/>
      <c r="D636" s="9" t="s">
        <v>769</v>
      </c>
      <c r="E636" s="9" t="s">
        <v>919</v>
      </c>
      <c r="J636" s="13"/>
      <c r="K636" s="13"/>
    </row>
    <row r="637">
      <c r="A637" s="9">
        <v>420.0</v>
      </c>
      <c r="B637" s="14" t="s">
        <v>927</v>
      </c>
      <c r="C637" s="14"/>
      <c r="D637" s="9" t="s">
        <v>597</v>
      </c>
      <c r="E637" s="9" t="s">
        <v>919</v>
      </c>
      <c r="J637" s="13"/>
      <c r="K637" s="13"/>
    </row>
    <row r="638">
      <c r="A638" s="9">
        <v>421.0</v>
      </c>
      <c r="B638" s="14" t="s">
        <v>928</v>
      </c>
      <c r="C638" s="14"/>
      <c r="D638" s="9" t="s">
        <v>929</v>
      </c>
      <c r="E638" s="9" t="s">
        <v>919</v>
      </c>
      <c r="J638" s="13"/>
      <c r="K638" s="13"/>
    </row>
    <row r="639">
      <c r="A639" s="9">
        <v>422.0</v>
      </c>
      <c r="B639" s="14" t="s">
        <v>930</v>
      </c>
      <c r="C639" s="14"/>
      <c r="D639" s="9" t="s">
        <v>931</v>
      </c>
      <c r="E639" s="9" t="s">
        <v>919</v>
      </c>
      <c r="J639" s="13"/>
      <c r="K639" s="13"/>
    </row>
    <row r="640">
      <c r="A640" s="9">
        <v>423.0</v>
      </c>
      <c r="B640" s="14" t="s">
        <v>932</v>
      </c>
      <c r="C640" s="14"/>
      <c r="D640" s="9" t="s">
        <v>737</v>
      </c>
      <c r="E640" s="9" t="s">
        <v>919</v>
      </c>
      <c r="J640" s="13"/>
      <c r="K640" s="13"/>
    </row>
    <row r="641">
      <c r="A641" s="9">
        <v>424.0</v>
      </c>
      <c r="B641" s="14" t="s">
        <v>933</v>
      </c>
      <c r="C641" s="14"/>
      <c r="D641" s="9" t="s">
        <v>779</v>
      </c>
      <c r="E641" s="9" t="s">
        <v>919</v>
      </c>
      <c r="J641" s="13"/>
      <c r="K641" s="13"/>
    </row>
    <row r="642">
      <c r="A642" s="9">
        <v>425.0</v>
      </c>
      <c r="B642" s="14" t="s">
        <v>934</v>
      </c>
      <c r="C642" s="14"/>
      <c r="D642" s="9" t="s">
        <v>935</v>
      </c>
      <c r="E642" s="9" t="s">
        <v>919</v>
      </c>
      <c r="J642" s="13"/>
      <c r="K642" s="13"/>
    </row>
    <row r="643">
      <c r="A643" s="9">
        <v>426.0</v>
      </c>
      <c r="B643" s="14" t="s">
        <v>936</v>
      </c>
      <c r="C643" s="14"/>
      <c r="D643" s="9" t="s">
        <v>821</v>
      </c>
      <c r="E643" s="9" t="s">
        <v>919</v>
      </c>
      <c r="J643" s="13"/>
      <c r="K643" s="13"/>
    </row>
    <row r="644">
      <c r="A644" s="9">
        <v>427.0</v>
      </c>
      <c r="B644" s="14" t="s">
        <v>937</v>
      </c>
      <c r="C644" s="14"/>
      <c r="D644" s="9" t="s">
        <v>685</v>
      </c>
      <c r="E644" s="9" t="s">
        <v>919</v>
      </c>
      <c r="J644" s="13"/>
      <c r="K644" s="13"/>
    </row>
    <row r="645">
      <c r="A645" s="9">
        <v>428.0</v>
      </c>
      <c r="B645" s="14" t="s">
        <v>938</v>
      </c>
      <c r="C645" s="14"/>
      <c r="D645" s="9" t="s">
        <v>615</v>
      </c>
      <c r="E645" s="9" t="s">
        <v>939</v>
      </c>
      <c r="J645" s="13"/>
      <c r="K645" s="13"/>
    </row>
    <row r="646">
      <c r="A646" s="9">
        <v>429.0</v>
      </c>
      <c r="B646" s="14" t="s">
        <v>940</v>
      </c>
      <c r="C646" s="14"/>
      <c r="D646" s="9" t="s">
        <v>472</v>
      </c>
      <c r="E646" s="9" t="s">
        <v>939</v>
      </c>
      <c r="J646" s="13"/>
      <c r="K646" s="13"/>
    </row>
    <row r="647">
      <c r="A647" s="9">
        <v>430.0</v>
      </c>
      <c r="B647" s="14" t="s">
        <v>941</v>
      </c>
      <c r="C647" s="14"/>
      <c r="D647" s="9" t="s">
        <v>627</v>
      </c>
      <c r="E647" s="9" t="s">
        <v>939</v>
      </c>
      <c r="J647" s="13"/>
      <c r="K647" s="13"/>
    </row>
    <row r="648">
      <c r="A648" s="9">
        <v>431.0</v>
      </c>
      <c r="B648" s="14" t="s">
        <v>942</v>
      </c>
      <c r="C648" s="14"/>
      <c r="D648" s="9" t="s">
        <v>943</v>
      </c>
      <c r="E648" s="9" t="s">
        <v>939</v>
      </c>
      <c r="J648" s="13"/>
      <c r="K648" s="13"/>
    </row>
    <row r="649">
      <c r="A649" s="9">
        <v>432.0</v>
      </c>
      <c r="B649" s="14" t="s">
        <v>944</v>
      </c>
      <c r="C649" s="14"/>
      <c r="D649" s="9" t="s">
        <v>945</v>
      </c>
      <c r="E649" s="9" t="s">
        <v>939</v>
      </c>
      <c r="J649" s="13"/>
      <c r="K649" s="13"/>
    </row>
    <row r="650">
      <c r="A650" s="9">
        <v>433.0</v>
      </c>
      <c r="B650" s="14" t="s">
        <v>946</v>
      </c>
      <c r="C650" s="14"/>
      <c r="D650" s="9" t="s">
        <v>807</v>
      </c>
      <c r="E650" s="9" t="s">
        <v>939</v>
      </c>
      <c r="J650" s="13"/>
      <c r="K650" s="13"/>
    </row>
    <row r="651">
      <c r="A651" s="9">
        <v>434.0</v>
      </c>
      <c r="B651" s="14" t="s">
        <v>947</v>
      </c>
      <c r="C651" s="14"/>
      <c r="D651" s="9" t="s">
        <v>902</v>
      </c>
      <c r="E651" s="9" t="s">
        <v>939</v>
      </c>
      <c r="J651" s="13"/>
      <c r="K651" s="13"/>
    </row>
    <row r="652">
      <c r="A652" s="9">
        <v>435.0</v>
      </c>
      <c r="B652" s="14" t="s">
        <v>948</v>
      </c>
      <c r="C652" s="14"/>
      <c r="D652" s="9" t="s">
        <v>894</v>
      </c>
      <c r="E652" s="9" t="s">
        <v>939</v>
      </c>
      <c r="J652" s="13"/>
      <c r="K652" s="13"/>
    </row>
    <row r="653">
      <c r="A653" s="9">
        <v>436.0</v>
      </c>
      <c r="B653" s="14" t="s">
        <v>949</v>
      </c>
      <c r="C653" s="14"/>
      <c r="D653" s="9" t="s">
        <v>731</v>
      </c>
      <c r="E653" s="9" t="s">
        <v>939</v>
      </c>
      <c r="J653" s="13"/>
      <c r="K653" s="13"/>
    </row>
    <row r="654">
      <c r="A654" s="9">
        <v>437.0</v>
      </c>
      <c r="B654" s="14" t="s">
        <v>950</v>
      </c>
      <c r="C654" s="14"/>
      <c r="D654" s="10" t="s">
        <v>520</v>
      </c>
      <c r="E654" s="9" t="s">
        <v>939</v>
      </c>
      <c r="J654" s="13"/>
      <c r="K654" s="13"/>
    </row>
    <row r="655">
      <c r="A655" s="9"/>
      <c r="B655" s="14"/>
      <c r="C655" s="14"/>
      <c r="D655" s="10" t="s">
        <v>951</v>
      </c>
      <c r="E655" s="9"/>
      <c r="J655" s="13"/>
      <c r="K655" s="13"/>
    </row>
    <row r="656">
      <c r="A656" s="9">
        <v>438.0</v>
      </c>
      <c r="B656" s="14" t="s">
        <v>952</v>
      </c>
      <c r="C656" s="14"/>
      <c r="D656" s="9" t="s">
        <v>754</v>
      </c>
      <c r="E656" s="9" t="s">
        <v>939</v>
      </c>
      <c r="J656" s="13"/>
      <c r="K656" s="13"/>
    </row>
    <row r="657">
      <c r="A657" s="9">
        <v>439.0</v>
      </c>
      <c r="B657" s="14" t="s">
        <v>953</v>
      </c>
      <c r="C657" s="14"/>
      <c r="D657" s="9" t="s">
        <v>672</v>
      </c>
      <c r="E657" s="9" t="s">
        <v>939</v>
      </c>
      <c r="J657" s="13"/>
      <c r="K657" s="13"/>
    </row>
    <row r="658">
      <c r="A658" s="9">
        <v>440.0</v>
      </c>
      <c r="B658" s="14" t="s">
        <v>954</v>
      </c>
      <c r="C658" s="14"/>
      <c r="D658" s="9" t="s">
        <v>781</v>
      </c>
      <c r="E658" s="9" t="s">
        <v>939</v>
      </c>
      <c r="J658" s="13"/>
      <c r="K658" s="13"/>
    </row>
    <row r="659">
      <c r="A659" s="9">
        <v>441.0</v>
      </c>
      <c r="B659" s="14" t="s">
        <v>955</v>
      </c>
      <c r="C659" s="14"/>
      <c r="D659" s="9" t="s">
        <v>774</v>
      </c>
      <c r="E659" s="9" t="s">
        <v>939</v>
      </c>
      <c r="J659" s="13"/>
      <c r="K659" s="13"/>
    </row>
    <row r="660">
      <c r="A660" s="9">
        <v>442.0</v>
      </c>
      <c r="B660" s="14" t="s">
        <v>956</v>
      </c>
      <c r="C660" s="14"/>
      <c r="D660" s="9" t="s">
        <v>885</v>
      </c>
      <c r="E660" s="9" t="s">
        <v>939</v>
      </c>
      <c r="J660" s="13"/>
      <c r="K660" s="13"/>
    </row>
    <row r="661">
      <c r="A661" s="9">
        <v>443.0</v>
      </c>
      <c r="B661" s="14" t="s">
        <v>957</v>
      </c>
      <c r="C661" s="14"/>
      <c r="D661" s="9" t="s">
        <v>864</v>
      </c>
      <c r="E661" s="9" t="s">
        <v>939</v>
      </c>
      <c r="J661" s="13"/>
      <c r="K661" s="13"/>
    </row>
    <row r="662">
      <c r="A662" s="9">
        <v>444.0</v>
      </c>
      <c r="B662" s="14" t="s">
        <v>958</v>
      </c>
      <c r="C662" s="14"/>
      <c r="D662" s="9" t="s">
        <v>815</v>
      </c>
      <c r="E662" s="9" t="s">
        <v>939</v>
      </c>
      <c r="J662" s="13"/>
      <c r="K662" s="13"/>
    </row>
    <row r="663">
      <c r="A663" s="9">
        <v>445.0</v>
      </c>
      <c r="B663" s="14" t="s">
        <v>959</v>
      </c>
      <c r="C663" s="14"/>
      <c r="D663" s="9" t="s">
        <v>855</v>
      </c>
      <c r="E663" s="9" t="s">
        <v>939</v>
      </c>
      <c r="J663" s="13"/>
      <c r="K663" s="13"/>
    </row>
    <row r="664">
      <c r="A664" s="9">
        <v>446.0</v>
      </c>
      <c r="B664" s="14" t="s">
        <v>960</v>
      </c>
      <c r="C664" s="14"/>
      <c r="D664" s="9" t="s">
        <v>563</v>
      </c>
      <c r="E664" s="9" t="s">
        <v>939</v>
      </c>
      <c r="J664" s="13"/>
      <c r="K664" s="13"/>
    </row>
    <row r="665">
      <c r="A665" s="9">
        <v>447.0</v>
      </c>
      <c r="B665" s="14" t="s">
        <v>961</v>
      </c>
      <c r="C665" s="14"/>
      <c r="D665" s="9" t="s">
        <v>931</v>
      </c>
      <c r="E665" s="9" t="s">
        <v>939</v>
      </c>
      <c r="J665" s="13"/>
      <c r="K665" s="13"/>
    </row>
    <row r="666">
      <c r="A666" s="9">
        <v>448.0</v>
      </c>
      <c r="B666" s="14" t="s">
        <v>962</v>
      </c>
      <c r="C666" s="14"/>
      <c r="D666" s="9" t="s">
        <v>604</v>
      </c>
      <c r="E666" s="9" t="s">
        <v>939</v>
      </c>
      <c r="J666" s="13"/>
      <c r="K666" s="13"/>
    </row>
    <row r="667">
      <c r="A667" s="9">
        <v>449.0</v>
      </c>
      <c r="B667" s="14" t="s">
        <v>963</v>
      </c>
      <c r="C667" s="14"/>
      <c r="D667" s="9" t="s">
        <v>964</v>
      </c>
      <c r="E667" s="9" t="s">
        <v>965</v>
      </c>
      <c r="J667" s="13"/>
      <c r="K667" s="13"/>
    </row>
    <row r="668">
      <c r="A668" s="9">
        <v>450.0</v>
      </c>
      <c r="B668" s="14" t="s">
        <v>966</v>
      </c>
      <c r="C668" s="14"/>
      <c r="D668" s="9" t="s">
        <v>967</v>
      </c>
      <c r="E668" s="9" t="s">
        <v>965</v>
      </c>
      <c r="J668" s="13"/>
      <c r="K668" s="13"/>
    </row>
    <row r="669">
      <c r="A669" s="9">
        <v>451.0</v>
      </c>
      <c r="B669" s="14" t="s">
        <v>968</v>
      </c>
      <c r="C669" s="14"/>
      <c r="D669" s="9" t="s">
        <v>969</v>
      </c>
      <c r="E669" s="9" t="s">
        <v>965</v>
      </c>
      <c r="J669" s="13"/>
      <c r="K669" s="13"/>
    </row>
    <row r="670">
      <c r="A670" s="9">
        <v>452.0</v>
      </c>
      <c r="B670" s="14" t="s">
        <v>970</v>
      </c>
      <c r="C670" s="14"/>
      <c r="D670" s="9" t="s">
        <v>971</v>
      </c>
      <c r="E670" s="9" t="s">
        <v>965</v>
      </c>
      <c r="J670" s="13"/>
      <c r="K670" s="13"/>
    </row>
    <row r="671">
      <c r="A671" s="9">
        <v>453.0</v>
      </c>
      <c r="B671" s="14" t="s">
        <v>972</v>
      </c>
      <c r="C671" s="14"/>
      <c r="D671" s="9" t="s">
        <v>728</v>
      </c>
      <c r="E671" s="9" t="s">
        <v>965</v>
      </c>
      <c r="J671" s="13"/>
      <c r="K671" s="13"/>
    </row>
    <row r="672">
      <c r="A672" s="9">
        <v>454.0</v>
      </c>
      <c r="B672" s="14" t="s">
        <v>973</v>
      </c>
      <c r="C672" s="14"/>
      <c r="D672" s="9" t="s">
        <v>974</v>
      </c>
      <c r="E672" s="9" t="s">
        <v>965</v>
      </c>
      <c r="J672" s="13"/>
      <c r="K672" s="13"/>
    </row>
    <row r="673">
      <c r="A673" s="9">
        <v>455.0</v>
      </c>
      <c r="B673" s="14" t="s">
        <v>975</v>
      </c>
      <c r="C673" s="14"/>
      <c r="D673" s="9" t="s">
        <v>976</v>
      </c>
      <c r="E673" s="9" t="s">
        <v>965</v>
      </c>
      <c r="J673" s="13"/>
      <c r="K673" s="13"/>
    </row>
    <row r="674">
      <c r="A674" s="9">
        <v>456.0</v>
      </c>
      <c r="B674" s="14" t="s">
        <v>977</v>
      </c>
      <c r="C674" s="14"/>
      <c r="D674" s="9" t="s">
        <v>772</v>
      </c>
      <c r="E674" s="9" t="s">
        <v>965</v>
      </c>
      <c r="J674" s="13"/>
      <c r="K674" s="13"/>
    </row>
    <row r="675">
      <c r="A675" s="9">
        <v>457.0</v>
      </c>
      <c r="B675" s="14" t="s">
        <v>978</v>
      </c>
      <c r="C675" s="14"/>
      <c r="D675" s="9" t="s">
        <v>979</v>
      </c>
      <c r="E675" s="9" t="s">
        <v>965</v>
      </c>
      <c r="J675" s="13"/>
      <c r="K675" s="13"/>
    </row>
    <row r="676">
      <c r="A676" s="9">
        <v>458.0</v>
      </c>
      <c r="B676" s="14" t="s">
        <v>980</v>
      </c>
      <c r="C676" s="14"/>
      <c r="D676" s="9" t="s">
        <v>811</v>
      </c>
      <c r="E676" s="9" t="s">
        <v>965</v>
      </c>
      <c r="J676" s="13"/>
      <c r="K676" s="13"/>
    </row>
    <row r="677">
      <c r="A677" s="9">
        <v>459.0</v>
      </c>
      <c r="B677" s="14" t="s">
        <v>981</v>
      </c>
      <c r="C677" s="14"/>
      <c r="D677" s="9" t="s">
        <v>745</v>
      </c>
      <c r="E677" s="9" t="s">
        <v>965</v>
      </c>
      <c r="J677" s="13"/>
      <c r="K677" s="13"/>
    </row>
    <row r="678">
      <c r="A678" s="9">
        <v>460.0</v>
      </c>
      <c r="B678" s="14" t="s">
        <v>982</v>
      </c>
      <c r="C678" s="14"/>
      <c r="D678" s="9" t="s">
        <v>983</v>
      </c>
      <c r="E678" s="9" t="s">
        <v>965</v>
      </c>
      <c r="J678" s="13"/>
      <c r="K678" s="13"/>
    </row>
    <row r="679">
      <c r="A679" s="9">
        <v>461.0</v>
      </c>
      <c r="B679" s="14" t="s">
        <v>984</v>
      </c>
      <c r="C679" s="14"/>
      <c r="D679" s="9" t="s">
        <v>834</v>
      </c>
      <c r="E679" s="9" t="s">
        <v>965</v>
      </c>
      <c r="J679" s="13"/>
      <c r="K679" s="13"/>
    </row>
    <row r="680">
      <c r="A680" s="9">
        <v>462.0</v>
      </c>
      <c r="B680" s="14" t="s">
        <v>985</v>
      </c>
      <c r="C680" s="14"/>
      <c r="D680" s="9" t="s">
        <v>850</v>
      </c>
      <c r="E680" s="9" t="s">
        <v>986</v>
      </c>
      <c r="J680" s="13"/>
      <c r="K680" s="13"/>
    </row>
    <row r="681">
      <c r="A681" s="9">
        <v>463.0</v>
      </c>
      <c r="B681" s="14" t="s">
        <v>987</v>
      </c>
      <c r="C681" s="14"/>
      <c r="D681" s="9" t="s">
        <v>465</v>
      </c>
      <c r="E681" s="9" t="s">
        <v>986</v>
      </c>
      <c r="J681" s="13"/>
      <c r="K681" s="13"/>
    </row>
    <row r="682">
      <c r="A682" s="9">
        <v>464.0</v>
      </c>
      <c r="B682" s="14" t="s">
        <v>988</v>
      </c>
      <c r="C682" s="14"/>
      <c r="D682" s="9" t="s">
        <v>989</v>
      </c>
      <c r="E682" s="9" t="s">
        <v>986</v>
      </c>
      <c r="J682" s="13"/>
      <c r="K682" s="13"/>
    </row>
    <row r="683">
      <c r="A683" s="9">
        <v>465.0</v>
      </c>
      <c r="B683" s="14" t="s">
        <v>990</v>
      </c>
      <c r="C683" s="14"/>
      <c r="D683" s="9" t="s">
        <v>902</v>
      </c>
      <c r="E683" s="9" t="s">
        <v>986</v>
      </c>
      <c r="J683" s="13"/>
      <c r="K683" s="13"/>
    </row>
    <row r="684">
      <c r="A684" s="9">
        <v>466.0</v>
      </c>
      <c r="B684" s="14" t="s">
        <v>991</v>
      </c>
      <c r="C684" s="14"/>
      <c r="D684" s="9" t="s">
        <v>992</v>
      </c>
      <c r="E684" s="9" t="s">
        <v>986</v>
      </c>
      <c r="J684" s="13"/>
      <c r="K684" s="13"/>
    </row>
    <row r="685">
      <c r="A685" s="9">
        <v>467.0</v>
      </c>
      <c r="B685" s="14" t="s">
        <v>993</v>
      </c>
      <c r="C685" s="14"/>
      <c r="D685" s="9" t="s">
        <v>994</v>
      </c>
      <c r="E685" s="9" t="s">
        <v>986</v>
      </c>
      <c r="J685" s="13"/>
      <c r="K685" s="13"/>
    </row>
    <row r="686">
      <c r="A686" s="9">
        <v>468.0</v>
      </c>
      <c r="B686" s="14" t="s">
        <v>995</v>
      </c>
      <c r="C686" s="14"/>
      <c r="D686" s="9" t="s">
        <v>520</v>
      </c>
      <c r="E686" s="9" t="s">
        <v>986</v>
      </c>
      <c r="J686" s="13"/>
      <c r="K686" s="13"/>
    </row>
    <row r="687">
      <c r="A687" s="9">
        <v>469.0</v>
      </c>
      <c r="B687" s="14" t="s">
        <v>996</v>
      </c>
      <c r="C687" s="14"/>
      <c r="D687" s="9" t="s">
        <v>997</v>
      </c>
      <c r="E687" s="9" t="s">
        <v>986</v>
      </c>
      <c r="J687" s="13"/>
      <c r="K687" s="13"/>
    </row>
    <row r="688">
      <c r="A688" s="9">
        <v>470.0</v>
      </c>
      <c r="B688" s="14" t="s">
        <v>998</v>
      </c>
      <c r="C688" s="14"/>
      <c r="D688" s="9" t="s">
        <v>882</v>
      </c>
      <c r="E688" s="9" t="s">
        <v>986</v>
      </c>
      <c r="J688" s="13"/>
      <c r="K688" s="13"/>
    </row>
    <row r="689">
      <c r="A689" s="9">
        <v>471.0</v>
      </c>
      <c r="B689" s="14" t="s">
        <v>999</v>
      </c>
      <c r="C689" s="14"/>
      <c r="D689" s="9" t="s">
        <v>706</v>
      </c>
      <c r="E689" s="9" t="s">
        <v>986</v>
      </c>
      <c r="J689" s="13"/>
      <c r="K689" s="13"/>
    </row>
    <row r="690">
      <c r="A690" s="9">
        <v>472.0</v>
      </c>
      <c r="B690" s="14" t="s">
        <v>1000</v>
      </c>
      <c r="C690" s="14"/>
      <c r="D690" s="9" t="s">
        <v>1001</v>
      </c>
      <c r="E690" s="9" t="s">
        <v>986</v>
      </c>
      <c r="J690" s="13"/>
      <c r="K690" s="13"/>
    </row>
    <row r="691">
      <c r="A691" s="9">
        <v>473.0</v>
      </c>
      <c r="B691" s="14" t="s">
        <v>1002</v>
      </c>
      <c r="C691" s="14"/>
      <c r="D691" s="9" t="s">
        <v>945</v>
      </c>
      <c r="E691" s="9" t="s">
        <v>986</v>
      </c>
      <c r="J691" s="13"/>
      <c r="K691" s="13"/>
    </row>
    <row r="692">
      <c r="A692" s="9">
        <v>474.0</v>
      </c>
      <c r="B692" s="14" t="s">
        <v>1003</v>
      </c>
      <c r="C692" s="14"/>
      <c r="D692" s="9" t="s">
        <v>1004</v>
      </c>
      <c r="E692" s="9" t="s">
        <v>986</v>
      </c>
      <c r="J692" s="13"/>
      <c r="K692" s="13"/>
    </row>
    <row r="693">
      <c r="A693" s="9">
        <v>475.0</v>
      </c>
      <c r="B693" s="14" t="s">
        <v>1005</v>
      </c>
      <c r="C693" s="14"/>
      <c r="D693" s="9" t="s">
        <v>821</v>
      </c>
      <c r="E693" s="9" t="s">
        <v>986</v>
      </c>
      <c r="J693" s="13"/>
      <c r="K693" s="13"/>
    </row>
    <row r="694">
      <c r="A694" s="9">
        <v>476.0</v>
      </c>
      <c r="B694" s="14" t="s">
        <v>1006</v>
      </c>
      <c r="C694" s="14"/>
      <c r="D694" s="9" t="s">
        <v>1007</v>
      </c>
      <c r="E694" s="9" t="s">
        <v>986</v>
      </c>
      <c r="J694" s="13"/>
      <c r="K694" s="13"/>
    </row>
    <row r="695">
      <c r="A695" s="9">
        <v>477.0</v>
      </c>
      <c r="B695" s="14" t="s">
        <v>1008</v>
      </c>
      <c r="C695" s="14"/>
      <c r="D695" s="9" t="s">
        <v>1009</v>
      </c>
      <c r="E695" s="9" t="s">
        <v>986</v>
      </c>
      <c r="J695" s="13"/>
      <c r="K695" s="13"/>
    </row>
    <row r="696">
      <c r="A696" s="9">
        <v>478.0</v>
      </c>
      <c r="B696" s="14" t="s">
        <v>1010</v>
      </c>
      <c r="C696" s="14"/>
      <c r="D696" s="9" t="s">
        <v>1011</v>
      </c>
      <c r="E696" s="9" t="s">
        <v>986</v>
      </c>
      <c r="J696" s="13"/>
      <c r="K696" s="13"/>
    </row>
    <row r="697">
      <c r="A697" s="9">
        <v>479.0</v>
      </c>
      <c r="B697" s="14" t="s">
        <v>1012</v>
      </c>
      <c r="C697" s="14"/>
      <c r="D697" s="9" t="s">
        <v>876</v>
      </c>
      <c r="E697" s="9" t="s">
        <v>986</v>
      </c>
      <c r="J697" s="13"/>
      <c r="K697" s="13"/>
    </row>
    <row r="698">
      <c r="A698" s="9">
        <v>480.0</v>
      </c>
      <c r="B698" s="14" t="s">
        <v>1013</v>
      </c>
      <c r="C698" s="14"/>
      <c r="D698" s="9" t="s">
        <v>917</v>
      </c>
      <c r="E698" s="9" t="s">
        <v>986</v>
      </c>
      <c r="J698" s="13"/>
      <c r="K698" s="13"/>
    </row>
    <row r="699">
      <c r="A699" s="9">
        <v>481.0</v>
      </c>
      <c r="B699" s="14" t="s">
        <v>1014</v>
      </c>
      <c r="C699" s="14"/>
      <c r="D699" s="9" t="s">
        <v>1015</v>
      </c>
      <c r="E699" s="9" t="s">
        <v>986</v>
      </c>
      <c r="J699" s="13"/>
      <c r="K699" s="13"/>
    </row>
    <row r="700">
      <c r="A700" s="9">
        <v>482.0</v>
      </c>
      <c r="B700" s="14" t="s">
        <v>1016</v>
      </c>
      <c r="C700" s="14"/>
      <c r="D700" s="9" t="s">
        <v>1017</v>
      </c>
      <c r="E700" s="9" t="s">
        <v>986</v>
      </c>
      <c r="J700" s="13"/>
      <c r="K700" s="13"/>
    </row>
    <row r="701">
      <c r="A701" s="9">
        <v>483.0</v>
      </c>
      <c r="B701" s="14" t="s">
        <v>1018</v>
      </c>
      <c r="C701" s="14"/>
      <c r="D701" s="9" t="s">
        <v>894</v>
      </c>
      <c r="E701" s="9" t="s">
        <v>986</v>
      </c>
      <c r="J701" s="13"/>
      <c r="K701" s="13"/>
    </row>
    <row r="702">
      <c r="A702" s="9">
        <v>484.0</v>
      </c>
      <c r="B702" s="14" t="s">
        <v>1019</v>
      </c>
      <c r="C702" s="14"/>
      <c r="D702" s="9" t="s">
        <v>1020</v>
      </c>
      <c r="E702" s="9" t="s">
        <v>986</v>
      </c>
      <c r="J702" s="13"/>
      <c r="K702" s="13"/>
    </row>
    <row r="703">
      <c r="A703" s="9">
        <v>485.0</v>
      </c>
      <c r="B703" s="14" t="s">
        <v>1021</v>
      </c>
      <c r="C703" s="14"/>
      <c r="D703" s="9" t="s">
        <v>1022</v>
      </c>
      <c r="E703" s="9" t="s">
        <v>986</v>
      </c>
      <c r="J703" s="13"/>
      <c r="K703" s="13"/>
    </row>
    <row r="704">
      <c r="A704" s="9">
        <v>486.0</v>
      </c>
      <c r="B704" s="14" t="s">
        <v>1023</v>
      </c>
      <c r="C704" s="14"/>
      <c r="D704" s="9" t="s">
        <v>967</v>
      </c>
      <c r="E704" s="9" t="s">
        <v>1024</v>
      </c>
      <c r="J704" s="13"/>
      <c r="K704" s="13"/>
    </row>
    <row r="705">
      <c r="A705" s="9">
        <v>487.0</v>
      </c>
      <c r="B705" s="14" t="s">
        <v>1025</v>
      </c>
      <c r="C705" s="14"/>
      <c r="D705" s="9" t="s">
        <v>739</v>
      </c>
      <c r="E705" s="9" t="s">
        <v>1024</v>
      </c>
      <c r="J705" s="13"/>
      <c r="K705" s="13"/>
    </row>
    <row r="706">
      <c r="A706" s="9">
        <v>488.0</v>
      </c>
      <c r="B706" s="14" t="s">
        <v>1026</v>
      </c>
      <c r="C706" s="14"/>
      <c r="D706" s="9" t="s">
        <v>935</v>
      </c>
      <c r="E706" s="9" t="s">
        <v>1024</v>
      </c>
      <c r="J706" s="13"/>
      <c r="K706" s="13"/>
    </row>
    <row r="707">
      <c r="A707" s="9">
        <v>489.0</v>
      </c>
      <c r="B707" s="14" t="s">
        <v>1027</v>
      </c>
      <c r="C707" s="14"/>
      <c r="D707" s="9" t="s">
        <v>1001</v>
      </c>
      <c r="E707" s="9" t="s">
        <v>1024</v>
      </c>
      <c r="J707" s="13"/>
      <c r="K707" s="13"/>
    </row>
    <row r="708">
      <c r="A708" s="9">
        <v>490.0</v>
      </c>
      <c r="B708" s="14" t="s">
        <v>1028</v>
      </c>
      <c r="C708" s="14"/>
      <c r="D708" s="9" t="s">
        <v>695</v>
      </c>
      <c r="E708" s="9" t="s">
        <v>1024</v>
      </c>
      <c r="J708" s="13"/>
      <c r="K708" s="13"/>
    </row>
    <row r="709">
      <c r="A709" s="9">
        <v>491.0</v>
      </c>
      <c r="B709" s="14" t="s">
        <v>1029</v>
      </c>
      <c r="C709" s="14"/>
      <c r="D709" s="9" t="s">
        <v>563</v>
      </c>
      <c r="E709" s="9" t="s">
        <v>1024</v>
      </c>
      <c r="J709" s="13"/>
      <c r="K709" s="13"/>
    </row>
    <row r="710">
      <c r="A710" s="9">
        <v>492.0</v>
      </c>
      <c r="B710" s="14" t="s">
        <v>1030</v>
      </c>
      <c r="C710" s="14"/>
      <c r="D710" s="9" t="s">
        <v>1031</v>
      </c>
      <c r="E710" s="9" t="s">
        <v>1024</v>
      </c>
      <c r="J710" s="13"/>
      <c r="K710" s="13"/>
    </row>
    <row r="711">
      <c r="A711" s="9">
        <v>493.0</v>
      </c>
      <c r="B711" s="14" t="s">
        <v>1032</v>
      </c>
      <c r="C711" s="14"/>
      <c r="D711" s="9" t="s">
        <v>971</v>
      </c>
      <c r="E711" s="9" t="s">
        <v>1024</v>
      </c>
      <c r="J711" s="13"/>
      <c r="K711" s="13"/>
    </row>
    <row r="712">
      <c r="A712" s="9">
        <v>494.0</v>
      </c>
      <c r="B712" s="14" t="s">
        <v>1033</v>
      </c>
      <c r="C712" s="14"/>
      <c r="D712" s="9" t="s">
        <v>615</v>
      </c>
      <c r="E712" s="9" t="s">
        <v>1024</v>
      </c>
      <c r="J712" s="13"/>
      <c r="K712" s="13"/>
    </row>
    <row r="713">
      <c r="A713" s="9">
        <v>495.0</v>
      </c>
      <c r="B713" s="14" t="s">
        <v>1034</v>
      </c>
      <c r="C713" s="14"/>
      <c r="D713" s="9" t="s">
        <v>1035</v>
      </c>
      <c r="E713" s="9" t="s">
        <v>1024</v>
      </c>
      <c r="J713" s="13"/>
      <c r="K713" s="13"/>
    </row>
    <row r="714">
      <c r="A714" s="9">
        <v>496.0</v>
      </c>
      <c r="B714" s="14" t="s">
        <v>1036</v>
      </c>
      <c r="C714" s="14"/>
      <c r="D714" s="9" t="s">
        <v>1037</v>
      </c>
      <c r="E714" s="9" t="s">
        <v>1024</v>
      </c>
      <c r="J714" s="13"/>
      <c r="K714" s="13"/>
    </row>
    <row r="715">
      <c r="A715" s="9">
        <v>497.0</v>
      </c>
      <c r="B715" s="14" t="s">
        <v>1038</v>
      </c>
      <c r="C715" s="14"/>
      <c r="D715" s="9" t="s">
        <v>876</v>
      </c>
      <c r="E715" s="9" t="s">
        <v>1024</v>
      </c>
      <c r="J715" s="13"/>
      <c r="K715" s="13"/>
    </row>
    <row r="716">
      <c r="A716" s="9">
        <v>498.0</v>
      </c>
      <c r="B716" s="14" t="s">
        <v>1039</v>
      </c>
      <c r="C716" s="14"/>
      <c r="D716" s="9" t="s">
        <v>781</v>
      </c>
      <c r="E716" s="9" t="s">
        <v>1024</v>
      </c>
      <c r="J716" s="13"/>
      <c r="K716" s="13"/>
    </row>
    <row r="717">
      <c r="A717" s="9">
        <v>499.0</v>
      </c>
      <c r="B717" s="14" t="s">
        <v>1040</v>
      </c>
      <c r="C717" s="14"/>
      <c r="D717" s="9" t="s">
        <v>554</v>
      </c>
      <c r="E717" s="9" t="s">
        <v>1024</v>
      </c>
      <c r="J717" s="13"/>
      <c r="K717" s="13"/>
    </row>
    <row r="718">
      <c r="A718" s="9">
        <v>500.0</v>
      </c>
      <c r="B718" s="14" t="s">
        <v>1041</v>
      </c>
      <c r="C718" s="14"/>
      <c r="D718" s="9" t="s">
        <v>1042</v>
      </c>
      <c r="E718" s="9" t="s">
        <v>1024</v>
      </c>
      <c r="J718" s="13"/>
      <c r="K718" s="13"/>
    </row>
    <row r="719">
      <c r="A719" s="9">
        <v>501.0</v>
      </c>
      <c r="B719" s="14" t="s">
        <v>1043</v>
      </c>
      <c r="C719" s="14"/>
      <c r="D719" s="9" t="s">
        <v>597</v>
      </c>
      <c r="E719" s="9" t="s">
        <v>1024</v>
      </c>
      <c r="J719" s="13"/>
      <c r="K719" s="13"/>
    </row>
    <row r="720">
      <c r="A720" s="9">
        <v>502.0</v>
      </c>
      <c r="B720" s="14" t="s">
        <v>1044</v>
      </c>
      <c r="C720" s="14"/>
      <c r="D720" s="9" t="s">
        <v>815</v>
      </c>
      <c r="E720" s="9" t="s">
        <v>1045</v>
      </c>
      <c r="J720" s="13"/>
      <c r="K720" s="13"/>
    </row>
    <row r="721">
      <c r="A721" s="9">
        <v>503.0</v>
      </c>
      <c r="B721" s="14" t="s">
        <v>1046</v>
      </c>
      <c r="C721" s="14"/>
      <c r="D721" s="9" t="s">
        <v>1047</v>
      </c>
      <c r="E721" s="9" t="s">
        <v>1045</v>
      </c>
      <c r="J721" s="13"/>
      <c r="K721" s="13"/>
    </row>
    <row r="722">
      <c r="A722" s="9">
        <v>504.0</v>
      </c>
      <c r="B722" s="14" t="s">
        <v>1048</v>
      </c>
      <c r="C722" s="14"/>
      <c r="D722" s="9" t="s">
        <v>1011</v>
      </c>
      <c r="E722" s="9" t="s">
        <v>1045</v>
      </c>
      <c r="J722" s="13"/>
      <c r="K722" s="13"/>
    </row>
    <row r="723">
      <c r="A723" s="9">
        <v>505.0</v>
      </c>
      <c r="B723" s="14" t="s">
        <v>1049</v>
      </c>
      <c r="C723" s="14"/>
      <c r="D723" s="9" t="s">
        <v>472</v>
      </c>
      <c r="E723" s="9" t="s">
        <v>1045</v>
      </c>
      <c r="J723" s="13"/>
      <c r="K723" s="13"/>
    </row>
    <row r="724">
      <c r="A724" s="9">
        <v>506.0</v>
      </c>
      <c r="B724" s="14" t="s">
        <v>1050</v>
      </c>
      <c r="C724" s="14"/>
      <c r="D724" s="9" t="s">
        <v>604</v>
      </c>
      <c r="E724" s="9" t="s">
        <v>1045</v>
      </c>
      <c r="J724" s="13"/>
      <c r="K724" s="13"/>
    </row>
    <row r="725">
      <c r="A725" s="9">
        <v>507.0</v>
      </c>
      <c r="B725" s="14" t="s">
        <v>1051</v>
      </c>
      <c r="C725" s="14"/>
      <c r="D725" s="9" t="s">
        <v>1052</v>
      </c>
      <c r="E725" s="9" t="s">
        <v>1045</v>
      </c>
      <c r="J725" s="13"/>
      <c r="K725" s="13"/>
    </row>
    <row r="726">
      <c r="A726" s="9">
        <v>508.0</v>
      </c>
      <c r="B726" s="14" t="s">
        <v>1053</v>
      </c>
      <c r="C726" s="14"/>
      <c r="D726" s="9" t="s">
        <v>811</v>
      </c>
      <c r="E726" s="9" t="s">
        <v>1045</v>
      </c>
      <c r="J726" s="13"/>
      <c r="K726" s="13"/>
    </row>
    <row r="727">
      <c r="A727" s="9">
        <v>509.0</v>
      </c>
      <c r="B727" s="14" t="s">
        <v>1054</v>
      </c>
      <c r="C727" s="14"/>
      <c r="D727" s="9" t="s">
        <v>1055</v>
      </c>
      <c r="E727" s="9" t="s">
        <v>1045</v>
      </c>
      <c r="J727" s="13"/>
      <c r="K727" s="13"/>
    </row>
    <row r="728">
      <c r="A728" s="9">
        <v>510.0</v>
      </c>
      <c r="B728" s="14" t="s">
        <v>1056</v>
      </c>
      <c r="C728" s="14"/>
      <c r="D728" s="9" t="s">
        <v>737</v>
      </c>
      <c r="E728" s="9" t="s">
        <v>1045</v>
      </c>
      <c r="J728" s="13"/>
      <c r="K728" s="13"/>
    </row>
    <row r="729">
      <c r="A729" s="9">
        <v>511.0</v>
      </c>
      <c r="B729" s="14" t="s">
        <v>1057</v>
      </c>
      <c r="C729" s="14"/>
      <c r="D729" s="9" t="s">
        <v>1058</v>
      </c>
      <c r="E729" s="9" t="s">
        <v>1045</v>
      </c>
      <c r="J729" s="13"/>
      <c r="K729" s="13"/>
    </row>
    <row r="730">
      <c r="A730" s="9">
        <v>512.0</v>
      </c>
      <c r="B730" s="14" t="s">
        <v>1059</v>
      </c>
      <c r="C730" s="14"/>
      <c r="D730" s="9" t="s">
        <v>1060</v>
      </c>
      <c r="E730" s="9" t="s">
        <v>1045</v>
      </c>
      <c r="J730" s="13"/>
      <c r="K730" s="13"/>
    </row>
    <row r="731">
      <c r="A731" s="9">
        <v>513.0</v>
      </c>
      <c r="B731" s="14" t="s">
        <v>1061</v>
      </c>
      <c r="C731" s="14"/>
      <c r="D731" s="9" t="s">
        <v>1062</v>
      </c>
      <c r="E731" s="9" t="s">
        <v>1045</v>
      </c>
      <c r="J731" s="13"/>
      <c r="K731" s="13"/>
    </row>
    <row r="732">
      <c r="A732" s="9">
        <v>514.0</v>
      </c>
      <c r="B732" s="14" t="s">
        <v>1063</v>
      </c>
      <c r="C732" s="14"/>
      <c r="D732" s="9" t="s">
        <v>772</v>
      </c>
      <c r="E732" s="9" t="s">
        <v>1045</v>
      </c>
      <c r="J732" s="13"/>
      <c r="K732" s="13"/>
    </row>
    <row r="733">
      <c r="A733" s="9">
        <v>515.0</v>
      </c>
      <c r="B733" s="14" t="s">
        <v>1064</v>
      </c>
      <c r="C733" s="14"/>
      <c r="D733" s="9" t="s">
        <v>909</v>
      </c>
      <c r="E733" s="9" t="s">
        <v>1045</v>
      </c>
      <c r="J733" s="13"/>
      <c r="K733" s="13"/>
    </row>
    <row r="734">
      <c r="A734" s="9">
        <v>516.0</v>
      </c>
      <c r="B734" s="14" t="s">
        <v>1065</v>
      </c>
      <c r="C734" s="14"/>
      <c r="D734" s="10" t="s">
        <v>1066</v>
      </c>
      <c r="E734" s="9" t="s">
        <v>1045</v>
      </c>
      <c r="J734" s="13"/>
      <c r="K734" s="13"/>
    </row>
    <row r="735">
      <c r="A735" s="9"/>
      <c r="B735" s="14"/>
      <c r="C735" s="14"/>
      <c r="D735" s="10" t="s">
        <v>1067</v>
      </c>
      <c r="E735" s="9"/>
      <c r="J735" s="13"/>
      <c r="K735" s="13"/>
    </row>
    <row r="736">
      <c r="A736" s="9">
        <v>517.0</v>
      </c>
      <c r="B736" s="14" t="s">
        <v>1068</v>
      </c>
      <c r="C736" s="14"/>
      <c r="D736" s="9" t="s">
        <v>1007</v>
      </c>
      <c r="E736" s="9" t="s">
        <v>1045</v>
      </c>
      <c r="J736" s="13"/>
      <c r="K736" s="13"/>
    </row>
    <row r="737">
      <c r="A737" s="9">
        <v>518.0</v>
      </c>
      <c r="B737" s="14" t="s">
        <v>1069</v>
      </c>
      <c r="C737" s="14"/>
      <c r="D737" s="9" t="s">
        <v>1070</v>
      </c>
      <c r="E737" s="9" t="s">
        <v>1045</v>
      </c>
      <c r="J737" s="13"/>
      <c r="K737" s="13"/>
    </row>
    <row r="738">
      <c r="A738" s="9">
        <v>519.0</v>
      </c>
      <c r="B738" s="14" t="s">
        <v>1071</v>
      </c>
      <c r="C738" s="14"/>
      <c r="D738" s="9" t="s">
        <v>1001</v>
      </c>
      <c r="E738" s="9" t="s">
        <v>1045</v>
      </c>
      <c r="J738" s="13"/>
      <c r="K738" s="13"/>
    </row>
    <row r="739">
      <c r="A739" s="9">
        <v>520.0</v>
      </c>
      <c r="B739" s="14" t="s">
        <v>1072</v>
      </c>
      <c r="C739" s="14"/>
      <c r="D739" s="9" t="s">
        <v>685</v>
      </c>
      <c r="E739" s="9" t="s">
        <v>1045</v>
      </c>
      <c r="J739" s="13"/>
      <c r="K739" s="13"/>
    </row>
    <row r="740">
      <c r="A740" s="9">
        <v>521.0</v>
      </c>
      <c r="B740" s="14" t="s">
        <v>1073</v>
      </c>
      <c r="C740" s="14"/>
      <c r="D740" s="9" t="s">
        <v>1074</v>
      </c>
      <c r="E740" s="9" t="s">
        <v>1045</v>
      </c>
      <c r="J740" s="13"/>
      <c r="K740" s="13"/>
    </row>
    <row r="741">
      <c r="A741" s="9">
        <v>522.0</v>
      </c>
      <c r="B741" s="14" t="s">
        <v>1075</v>
      </c>
      <c r="C741" s="14"/>
      <c r="D741" s="9" t="s">
        <v>821</v>
      </c>
      <c r="E741" s="9" t="s">
        <v>1045</v>
      </c>
      <c r="J741" s="13"/>
      <c r="K741" s="13"/>
    </row>
    <row r="742">
      <c r="A742" s="9">
        <v>523.0</v>
      </c>
      <c r="B742" s="14" t="s">
        <v>1076</v>
      </c>
      <c r="C742" s="14"/>
      <c r="D742" s="9" t="s">
        <v>1077</v>
      </c>
      <c r="E742" s="9" t="s">
        <v>1045</v>
      </c>
      <c r="J742" s="13"/>
      <c r="K742" s="13"/>
    </row>
    <row r="743">
      <c r="A743" s="9">
        <v>524.0</v>
      </c>
      <c r="B743" s="14" t="s">
        <v>1078</v>
      </c>
      <c r="C743" s="14"/>
      <c r="D743" s="9" t="s">
        <v>695</v>
      </c>
      <c r="E743" s="9" t="s">
        <v>1045</v>
      </c>
      <c r="J743" s="13"/>
      <c r="K743" s="13"/>
    </row>
    <row r="744">
      <c r="A744" s="9">
        <v>525.0</v>
      </c>
      <c r="B744" s="14" t="s">
        <v>1079</v>
      </c>
      <c r="C744" s="14"/>
      <c r="D744" s="9" t="s">
        <v>1080</v>
      </c>
      <c r="E744" s="9" t="s">
        <v>1045</v>
      </c>
      <c r="J744" s="13"/>
      <c r="K744" s="13"/>
    </row>
    <row r="745">
      <c r="A745" s="9">
        <v>526.0</v>
      </c>
      <c r="B745" s="14" t="s">
        <v>1081</v>
      </c>
      <c r="C745" s="14"/>
      <c r="D745" s="9" t="s">
        <v>896</v>
      </c>
      <c r="E745" s="9" t="s">
        <v>1045</v>
      </c>
      <c r="J745" s="13"/>
      <c r="K745" s="13"/>
    </row>
    <row r="746">
      <c r="A746" s="9">
        <v>527.0</v>
      </c>
      <c r="B746" s="14" t="s">
        <v>1082</v>
      </c>
      <c r="C746" s="14"/>
      <c r="D746" s="9" t="s">
        <v>1083</v>
      </c>
      <c r="E746" s="9" t="s">
        <v>1045</v>
      </c>
      <c r="J746" s="13"/>
      <c r="K746" s="13"/>
    </row>
    <row r="747">
      <c r="A747" s="9">
        <v>528.0</v>
      </c>
      <c r="B747" s="14" t="s">
        <v>1084</v>
      </c>
      <c r="C747" s="14"/>
      <c r="D747" s="9" t="s">
        <v>1022</v>
      </c>
      <c r="E747" s="9" t="s">
        <v>1045</v>
      </c>
      <c r="J747" s="13"/>
      <c r="K747" s="13"/>
    </row>
    <row r="748">
      <c r="A748" s="9">
        <v>529.0</v>
      </c>
      <c r="B748" s="14" t="s">
        <v>1085</v>
      </c>
      <c r="C748" s="14"/>
      <c r="D748" s="9" t="s">
        <v>1086</v>
      </c>
      <c r="E748" s="9" t="s">
        <v>1087</v>
      </c>
      <c r="J748" s="13"/>
      <c r="K748" s="13"/>
    </row>
    <row r="749">
      <c r="A749" s="9">
        <v>530.0</v>
      </c>
      <c r="B749" s="14" t="s">
        <v>1088</v>
      </c>
      <c r="C749" s="14"/>
      <c r="D749" s="9" t="s">
        <v>774</v>
      </c>
      <c r="E749" s="9" t="s">
        <v>1087</v>
      </c>
      <c r="J749" s="13"/>
      <c r="K749" s="13"/>
    </row>
    <row r="750">
      <c r="A750" s="9">
        <v>531.0</v>
      </c>
      <c r="B750" s="14" t="s">
        <v>1089</v>
      </c>
      <c r="C750" s="14"/>
      <c r="D750" s="9" t="s">
        <v>1090</v>
      </c>
      <c r="E750" s="9" t="s">
        <v>1087</v>
      </c>
      <c r="J750" s="13"/>
      <c r="K750" s="13"/>
    </row>
    <row r="751">
      <c r="A751" s="9">
        <v>532.0</v>
      </c>
      <c r="B751" s="14" t="s">
        <v>1091</v>
      </c>
      <c r="C751" s="14"/>
      <c r="D751" s="9" t="s">
        <v>1092</v>
      </c>
      <c r="E751" s="9" t="s">
        <v>1087</v>
      </c>
      <c r="J751" s="13"/>
      <c r="K751" s="13"/>
    </row>
    <row r="752">
      <c r="A752" s="9">
        <v>533.0</v>
      </c>
      <c r="B752" s="14" t="s">
        <v>1093</v>
      </c>
      <c r="C752" s="14"/>
      <c r="D752" s="9" t="s">
        <v>1094</v>
      </c>
      <c r="E752" s="9" t="s">
        <v>1087</v>
      </c>
      <c r="J752" s="13"/>
      <c r="K752" s="13"/>
    </row>
    <row r="753">
      <c r="A753" s="9">
        <v>534.0</v>
      </c>
      <c r="B753" s="14" t="s">
        <v>1095</v>
      </c>
      <c r="C753" s="14"/>
      <c r="D753" s="9" t="s">
        <v>1096</v>
      </c>
      <c r="E753" s="9" t="s">
        <v>1087</v>
      </c>
      <c r="J753" s="13"/>
      <c r="K753" s="13"/>
    </row>
    <row r="754">
      <c r="A754" s="9">
        <v>535.0</v>
      </c>
      <c r="B754" s="14" t="s">
        <v>1097</v>
      </c>
      <c r="C754" s="14"/>
      <c r="D754" s="9" t="s">
        <v>1098</v>
      </c>
      <c r="E754" s="9" t="s">
        <v>1087</v>
      </c>
      <c r="J754" s="13"/>
      <c r="K754" s="13"/>
    </row>
    <row r="755">
      <c r="A755" s="9">
        <v>536.0</v>
      </c>
      <c r="B755" s="14" t="s">
        <v>1099</v>
      </c>
      <c r="C755" s="14"/>
      <c r="D755" s="9" t="s">
        <v>1100</v>
      </c>
      <c r="E755" s="9" t="s">
        <v>1087</v>
      </c>
      <c r="J755" s="13"/>
      <c r="K755" s="13"/>
    </row>
    <row r="756">
      <c r="A756" s="9">
        <v>537.0</v>
      </c>
      <c r="B756" s="14" t="s">
        <v>1101</v>
      </c>
      <c r="C756" s="14"/>
      <c r="D756" s="9" t="s">
        <v>1102</v>
      </c>
      <c r="E756" s="9" t="s">
        <v>1087</v>
      </c>
      <c r="J756" s="13"/>
      <c r="K756" s="13"/>
    </row>
    <row r="757">
      <c r="A757" s="9">
        <v>538.0</v>
      </c>
      <c r="B757" s="14" t="s">
        <v>1103</v>
      </c>
      <c r="C757" s="14"/>
      <c r="D757" s="9" t="s">
        <v>1022</v>
      </c>
      <c r="E757" s="9" t="s">
        <v>1087</v>
      </c>
      <c r="J757" s="13"/>
      <c r="K757" s="13"/>
    </row>
    <row r="758">
      <c r="A758" s="9">
        <v>539.0</v>
      </c>
      <c r="B758" s="14" t="s">
        <v>1104</v>
      </c>
      <c r="C758" s="14"/>
      <c r="D758" s="9" t="s">
        <v>943</v>
      </c>
      <c r="E758" s="9" t="s">
        <v>1087</v>
      </c>
      <c r="J758" s="13"/>
      <c r="K758" s="13"/>
    </row>
    <row r="759">
      <c r="A759" s="9">
        <v>540.0</v>
      </c>
      <c r="B759" s="14" t="s">
        <v>1105</v>
      </c>
      <c r="C759" s="14"/>
      <c r="D759" s="9" t="s">
        <v>1106</v>
      </c>
      <c r="E759" s="9" t="s">
        <v>1087</v>
      </c>
      <c r="J759" s="13"/>
      <c r="K759" s="13"/>
    </row>
    <row r="760">
      <c r="A760" s="9">
        <v>541.0</v>
      </c>
      <c r="B760" s="14" t="s">
        <v>1107</v>
      </c>
      <c r="C760" s="14"/>
      <c r="D760" s="9" t="s">
        <v>1108</v>
      </c>
      <c r="E760" s="9" t="s">
        <v>1087</v>
      </c>
      <c r="J760" s="13"/>
      <c r="K760" s="13"/>
    </row>
    <row r="761">
      <c r="A761" s="9">
        <v>542.0</v>
      </c>
      <c r="B761" s="14" t="s">
        <v>1109</v>
      </c>
      <c r="C761" s="14"/>
      <c r="D761" s="9" t="s">
        <v>945</v>
      </c>
      <c r="E761" s="9" t="s">
        <v>1087</v>
      </c>
      <c r="J761" s="13"/>
      <c r="K761" s="13"/>
    </row>
    <row r="762">
      <c r="A762" s="9">
        <v>543.0</v>
      </c>
      <c r="B762" s="14" t="s">
        <v>1110</v>
      </c>
      <c r="C762" s="14"/>
      <c r="D762" s="9" t="s">
        <v>971</v>
      </c>
      <c r="E762" s="9" t="s">
        <v>1087</v>
      </c>
      <c r="J762" s="13"/>
      <c r="K762" s="13"/>
    </row>
    <row r="763">
      <c r="A763" s="9">
        <v>544.0</v>
      </c>
      <c r="B763" s="14" t="s">
        <v>1111</v>
      </c>
      <c r="C763" s="14"/>
      <c r="D763" s="9" t="s">
        <v>1112</v>
      </c>
      <c r="E763" s="9" t="s">
        <v>1087</v>
      </c>
      <c r="J763" s="13"/>
      <c r="K763" s="13"/>
    </row>
    <row r="764">
      <c r="A764" s="9">
        <v>545.0</v>
      </c>
      <c r="B764" s="14" t="s">
        <v>1113</v>
      </c>
      <c r="C764" s="14"/>
      <c r="D764" s="9" t="s">
        <v>1055</v>
      </c>
      <c r="E764" s="9" t="s">
        <v>1087</v>
      </c>
      <c r="J764" s="13"/>
      <c r="K764" s="13"/>
    </row>
    <row r="765">
      <c r="A765" s="9">
        <v>546.0</v>
      </c>
      <c r="B765" s="14" t="s">
        <v>1114</v>
      </c>
      <c r="C765" s="14"/>
      <c r="D765" s="9" t="s">
        <v>997</v>
      </c>
      <c r="E765" s="9" t="s">
        <v>1087</v>
      </c>
      <c r="J765" s="13"/>
      <c r="K765" s="13"/>
    </row>
    <row r="766">
      <c r="A766" s="9">
        <v>547.0</v>
      </c>
      <c r="B766" s="14" t="s">
        <v>1115</v>
      </c>
      <c r="C766" s="14"/>
      <c r="D766" s="9" t="s">
        <v>1116</v>
      </c>
      <c r="E766" s="9" t="s">
        <v>1087</v>
      </c>
      <c r="J766" s="13"/>
      <c r="K766" s="13"/>
    </row>
    <row r="767">
      <c r="A767" s="9">
        <v>548.0</v>
      </c>
      <c r="B767" s="14" t="s">
        <v>1117</v>
      </c>
      <c r="C767" s="14"/>
      <c r="D767" s="9" t="s">
        <v>1118</v>
      </c>
      <c r="E767" s="9" t="s">
        <v>1087</v>
      </c>
      <c r="J767" s="13"/>
      <c r="K767" s="13"/>
    </row>
    <row r="768">
      <c r="A768" s="9">
        <v>549.0</v>
      </c>
      <c r="B768" s="14" t="s">
        <v>1119</v>
      </c>
      <c r="C768" s="14"/>
      <c r="D768" s="9" t="s">
        <v>1120</v>
      </c>
      <c r="E768" s="9" t="s">
        <v>1087</v>
      </c>
      <c r="J768" s="13"/>
      <c r="K768" s="13"/>
    </row>
    <row r="769">
      <c r="A769" s="9">
        <v>550.0</v>
      </c>
      <c r="B769" s="14" t="s">
        <v>1121</v>
      </c>
      <c r="C769" s="14"/>
      <c r="D769" s="9" t="s">
        <v>1035</v>
      </c>
      <c r="E769" s="9" t="s">
        <v>1122</v>
      </c>
      <c r="J769" s="13"/>
      <c r="K769" s="13"/>
    </row>
    <row r="770">
      <c r="A770" s="9">
        <v>551.0</v>
      </c>
      <c r="B770" s="14" t="s">
        <v>1123</v>
      </c>
      <c r="C770" s="14"/>
      <c r="D770" s="9" t="s">
        <v>869</v>
      </c>
      <c r="E770" s="9" t="s">
        <v>1122</v>
      </c>
      <c r="J770" s="13"/>
      <c r="K770" s="13"/>
    </row>
    <row r="771">
      <c r="A771" s="9">
        <v>552.0</v>
      </c>
      <c r="B771" s="14" t="s">
        <v>1124</v>
      </c>
      <c r="C771" s="14"/>
      <c r="D771" s="9" t="s">
        <v>1047</v>
      </c>
      <c r="E771" s="9" t="s">
        <v>1122</v>
      </c>
      <c r="J771" s="13"/>
      <c r="K771" s="13"/>
    </row>
    <row r="772">
      <c r="A772" s="9">
        <v>553.0</v>
      </c>
      <c r="B772" s="14" t="s">
        <v>1125</v>
      </c>
      <c r="C772" s="14"/>
      <c r="D772" s="9" t="s">
        <v>1126</v>
      </c>
      <c r="E772" s="9" t="s">
        <v>1122</v>
      </c>
      <c r="J772" s="13"/>
      <c r="K772" s="13"/>
    </row>
    <row r="773">
      <c r="A773" s="9">
        <v>554.0</v>
      </c>
      <c r="B773" s="14" t="s">
        <v>1127</v>
      </c>
      <c r="C773" s="14"/>
      <c r="D773" s="9" t="s">
        <v>739</v>
      </c>
      <c r="E773" s="9" t="s">
        <v>1122</v>
      </c>
      <c r="J773" s="13"/>
      <c r="K773" s="13"/>
    </row>
    <row r="774">
      <c r="A774" s="9">
        <v>555.0</v>
      </c>
      <c r="B774" s="14" t="s">
        <v>1128</v>
      </c>
      <c r="C774" s="14"/>
      <c r="D774" s="9" t="s">
        <v>815</v>
      </c>
      <c r="E774" s="9" t="s">
        <v>1122</v>
      </c>
      <c r="J774" s="13"/>
      <c r="K774" s="13"/>
    </row>
    <row r="775">
      <c r="A775" s="9">
        <v>556.0</v>
      </c>
      <c r="B775" s="14" t="s">
        <v>1129</v>
      </c>
      <c r="C775" s="14"/>
      <c r="D775" s="9" t="s">
        <v>1130</v>
      </c>
      <c r="E775" s="9" t="s">
        <v>1122</v>
      </c>
      <c r="J775" s="13"/>
      <c r="K775" s="13"/>
    </row>
    <row r="776">
      <c r="A776" s="9">
        <v>557.0</v>
      </c>
      <c r="B776" s="14" t="s">
        <v>1131</v>
      </c>
      <c r="C776" s="14"/>
      <c r="D776" s="9" t="s">
        <v>1132</v>
      </c>
      <c r="E776" s="9" t="s">
        <v>1122</v>
      </c>
      <c r="J776" s="13"/>
      <c r="K776" s="13"/>
    </row>
    <row r="777">
      <c r="A777" s="9">
        <v>558.0</v>
      </c>
      <c r="B777" s="14" t="s">
        <v>1133</v>
      </c>
      <c r="C777" s="14"/>
      <c r="D777" s="9" t="s">
        <v>997</v>
      </c>
      <c r="E777" s="9" t="s">
        <v>1122</v>
      </c>
      <c r="J777" s="13"/>
      <c r="K777" s="13"/>
    </row>
    <row r="778">
      <c r="A778" s="9">
        <v>559.0</v>
      </c>
      <c r="B778" s="14" t="s">
        <v>1134</v>
      </c>
      <c r="C778" s="14"/>
      <c r="D778" s="9" t="s">
        <v>1135</v>
      </c>
      <c r="E778" s="9" t="s">
        <v>1122</v>
      </c>
      <c r="J778" s="13"/>
      <c r="K778" s="13"/>
    </row>
    <row r="779">
      <c r="A779" s="9">
        <v>560.0</v>
      </c>
      <c r="B779" s="14" t="s">
        <v>1136</v>
      </c>
      <c r="C779" s="14"/>
      <c r="D779" s="9" t="s">
        <v>648</v>
      </c>
      <c r="E779" s="9" t="s">
        <v>1122</v>
      </c>
      <c r="J779" s="13"/>
      <c r="K779" s="13"/>
    </row>
    <row r="780">
      <c r="A780" s="9">
        <v>561.0</v>
      </c>
      <c r="B780" s="14" t="s">
        <v>1137</v>
      </c>
      <c r="C780" s="14"/>
      <c r="D780" s="9" t="s">
        <v>1138</v>
      </c>
      <c r="E780" s="9" t="s">
        <v>1122</v>
      </c>
      <c r="J780" s="13"/>
      <c r="K780" s="13"/>
    </row>
    <row r="781">
      <c r="A781" s="9">
        <v>562.0</v>
      </c>
      <c r="B781" s="14" t="s">
        <v>1139</v>
      </c>
      <c r="C781" s="14"/>
      <c r="D781" s="9" t="s">
        <v>989</v>
      </c>
      <c r="E781" s="9" t="s">
        <v>1122</v>
      </c>
      <c r="J781" s="13"/>
      <c r="K781" s="13"/>
    </row>
    <row r="782">
      <c r="A782" s="9">
        <v>563.0</v>
      </c>
      <c r="B782" s="14" t="s">
        <v>1140</v>
      </c>
      <c r="C782" s="14"/>
      <c r="D782" s="9" t="s">
        <v>731</v>
      </c>
      <c r="E782" s="9" t="s">
        <v>1122</v>
      </c>
      <c r="J782" s="13"/>
      <c r="K782" s="13"/>
    </row>
    <row r="783">
      <c r="A783" s="9">
        <v>564.0</v>
      </c>
      <c r="B783" s="14" t="s">
        <v>1141</v>
      </c>
      <c r="C783" s="14"/>
      <c r="D783" s="9" t="s">
        <v>1142</v>
      </c>
      <c r="E783" s="9" t="s">
        <v>1122</v>
      </c>
      <c r="J783" s="13"/>
      <c r="K783" s="13"/>
    </row>
    <row r="784">
      <c r="A784" s="9">
        <v>565.0</v>
      </c>
      <c r="B784" s="14" t="s">
        <v>1143</v>
      </c>
      <c r="C784" s="14"/>
      <c r="D784" s="9" t="s">
        <v>754</v>
      </c>
      <c r="E784" s="9" t="s">
        <v>1122</v>
      </c>
      <c r="J784" s="13"/>
      <c r="K784" s="13"/>
    </row>
    <row r="785">
      <c r="A785" s="9">
        <v>566.0</v>
      </c>
      <c r="B785" s="14" t="s">
        <v>1144</v>
      </c>
      <c r="C785" s="14"/>
      <c r="D785" s="9" t="s">
        <v>855</v>
      </c>
      <c r="E785" s="9" t="s">
        <v>1122</v>
      </c>
      <c r="J785" s="13"/>
      <c r="K785" s="13"/>
    </row>
    <row r="786">
      <c r="A786" s="9">
        <v>567.0</v>
      </c>
      <c r="B786" s="14" t="s">
        <v>1145</v>
      </c>
      <c r="C786" s="14"/>
      <c r="D786" s="9" t="s">
        <v>1146</v>
      </c>
      <c r="E786" s="9" t="s">
        <v>1122</v>
      </c>
      <c r="J786" s="13"/>
      <c r="K786" s="13"/>
    </row>
    <row r="787">
      <c r="A787" s="9">
        <v>568.0</v>
      </c>
      <c r="B787" s="14" t="s">
        <v>1147</v>
      </c>
      <c r="C787" s="14"/>
      <c r="D787" s="9" t="s">
        <v>1037</v>
      </c>
      <c r="E787" s="9" t="s">
        <v>1122</v>
      </c>
      <c r="J787" s="13"/>
      <c r="K787" s="13"/>
    </row>
    <row r="788">
      <c r="A788" s="9">
        <v>569.0</v>
      </c>
      <c r="B788" s="14" t="s">
        <v>1148</v>
      </c>
      <c r="C788" s="14"/>
      <c r="D788" s="9" t="s">
        <v>821</v>
      </c>
      <c r="E788" s="9" t="s">
        <v>1122</v>
      </c>
      <c r="J788" s="13"/>
      <c r="K788" s="13"/>
    </row>
    <row r="789">
      <c r="A789" s="9">
        <v>570.0</v>
      </c>
      <c r="B789" s="14" t="s">
        <v>1149</v>
      </c>
      <c r="C789" s="14"/>
      <c r="D789" s="9" t="s">
        <v>1150</v>
      </c>
      <c r="E789" s="9" t="s">
        <v>1122</v>
      </c>
      <c r="J789" s="13"/>
      <c r="K789" s="13"/>
    </row>
    <row r="790">
      <c r="A790" s="9">
        <v>571.0</v>
      </c>
      <c r="B790" s="14" t="s">
        <v>1151</v>
      </c>
      <c r="C790" s="14"/>
      <c r="D790" s="9" t="s">
        <v>1152</v>
      </c>
      <c r="E790" s="9" t="s">
        <v>1122</v>
      </c>
      <c r="J790" s="13"/>
      <c r="K790" s="13"/>
    </row>
    <row r="791">
      <c r="A791" s="9">
        <v>572.0</v>
      </c>
      <c r="B791" s="14" t="s">
        <v>1153</v>
      </c>
      <c r="C791" s="14"/>
      <c r="D791" s="9" t="s">
        <v>1154</v>
      </c>
      <c r="E791" s="9" t="s">
        <v>1122</v>
      </c>
      <c r="J791" s="13"/>
      <c r="K791" s="13"/>
    </row>
    <row r="792">
      <c r="A792" s="9">
        <v>573.0</v>
      </c>
      <c r="B792" s="14" t="s">
        <v>1155</v>
      </c>
      <c r="C792" s="14"/>
      <c r="D792" s="9" t="s">
        <v>1156</v>
      </c>
      <c r="E792" s="9" t="s">
        <v>1122</v>
      </c>
      <c r="J792" s="13"/>
      <c r="K792" s="13"/>
    </row>
    <row r="793">
      <c r="A793" s="9">
        <v>574.0</v>
      </c>
      <c r="B793" s="14" t="s">
        <v>1157</v>
      </c>
      <c r="C793" s="14"/>
      <c r="D793" s="9" t="s">
        <v>781</v>
      </c>
      <c r="E793" s="9" t="s">
        <v>1122</v>
      </c>
      <c r="J793" s="13"/>
      <c r="K793" s="13"/>
    </row>
    <row r="794">
      <c r="A794" s="9">
        <v>575.0</v>
      </c>
      <c r="B794" s="14" t="s">
        <v>1158</v>
      </c>
      <c r="C794" s="14"/>
      <c r="D794" s="9" t="s">
        <v>1159</v>
      </c>
      <c r="E794" s="9" t="s">
        <v>1122</v>
      </c>
      <c r="J794" s="13"/>
      <c r="K794" s="13"/>
    </row>
    <row r="795">
      <c r="A795" s="9">
        <v>576.0</v>
      </c>
      <c r="B795" s="14" t="s">
        <v>1160</v>
      </c>
      <c r="C795" s="14"/>
      <c r="D795" s="9" t="s">
        <v>1161</v>
      </c>
      <c r="E795" s="9" t="s">
        <v>1162</v>
      </c>
      <c r="J795" s="13"/>
      <c r="K795" s="13"/>
    </row>
    <row r="796">
      <c r="A796" s="9">
        <v>577.0</v>
      </c>
      <c r="B796" s="14" t="s">
        <v>1163</v>
      </c>
      <c r="C796" s="14"/>
      <c r="D796" s="9" t="s">
        <v>894</v>
      </c>
      <c r="E796" s="9" t="s">
        <v>1162</v>
      </c>
      <c r="J796" s="13"/>
      <c r="K796" s="13"/>
    </row>
    <row r="797">
      <c r="A797" s="9">
        <v>578.0</v>
      </c>
      <c r="B797" s="14" t="s">
        <v>1164</v>
      </c>
      <c r="C797" s="14"/>
      <c r="D797" s="9" t="s">
        <v>1086</v>
      </c>
      <c r="E797" s="9" t="s">
        <v>1162</v>
      </c>
      <c r="J797" s="13"/>
      <c r="K797" s="13"/>
    </row>
    <row r="798">
      <c r="A798" s="9">
        <v>579.0</v>
      </c>
      <c r="B798" s="14" t="s">
        <v>1165</v>
      </c>
      <c r="C798" s="14"/>
      <c r="D798" s="9" t="s">
        <v>1166</v>
      </c>
      <c r="E798" s="9" t="s">
        <v>1162</v>
      </c>
      <c r="J798" s="13"/>
      <c r="K798" s="13"/>
    </row>
    <row r="799">
      <c r="A799" s="9">
        <v>580.0</v>
      </c>
      <c r="B799" s="14" t="s">
        <v>1167</v>
      </c>
      <c r="C799" s="14"/>
      <c r="D799" s="9" t="s">
        <v>685</v>
      </c>
      <c r="E799" s="9" t="s">
        <v>1162</v>
      </c>
      <c r="J799" s="13"/>
      <c r="K799" s="13"/>
    </row>
    <row r="800">
      <c r="A800" s="9">
        <v>581.0</v>
      </c>
      <c r="B800" s="14" t="s">
        <v>1168</v>
      </c>
      <c r="C800" s="14"/>
      <c r="D800" s="9" t="s">
        <v>1169</v>
      </c>
      <c r="E800" s="9" t="s">
        <v>1162</v>
      </c>
      <c r="J800" s="13"/>
      <c r="K800" s="13"/>
    </row>
    <row r="801">
      <c r="A801" s="9">
        <v>582.0</v>
      </c>
      <c r="B801" s="14" t="s">
        <v>1170</v>
      </c>
      <c r="C801" s="14"/>
      <c r="D801" s="9" t="s">
        <v>1007</v>
      </c>
      <c r="E801" s="9" t="s">
        <v>1162</v>
      </c>
      <c r="J801" s="13"/>
      <c r="K801" s="13"/>
    </row>
    <row r="802">
      <c r="A802" s="9">
        <v>583.0</v>
      </c>
      <c r="B802" s="14" t="s">
        <v>1171</v>
      </c>
      <c r="C802" s="14"/>
      <c r="D802" s="9" t="s">
        <v>1172</v>
      </c>
      <c r="E802" s="9" t="s">
        <v>1162</v>
      </c>
      <c r="J802" s="13"/>
      <c r="K802" s="13"/>
    </row>
    <row r="803">
      <c r="A803" s="9">
        <v>584.0</v>
      </c>
      <c r="B803" s="14" t="s">
        <v>1173</v>
      </c>
      <c r="C803" s="14"/>
      <c r="D803" s="9" t="s">
        <v>1174</v>
      </c>
      <c r="E803" s="9" t="s">
        <v>1162</v>
      </c>
      <c r="J803" s="13"/>
      <c r="K803" s="13"/>
    </row>
    <row r="804">
      <c r="A804" s="9">
        <v>585.0</v>
      </c>
      <c r="B804" s="14" t="s">
        <v>1175</v>
      </c>
      <c r="C804" s="14"/>
      <c r="D804" s="9" t="s">
        <v>1001</v>
      </c>
      <c r="E804" s="9" t="s">
        <v>1162</v>
      </c>
      <c r="J804" s="13"/>
      <c r="K804" s="13"/>
    </row>
    <row r="805">
      <c r="A805" s="9">
        <v>586.0</v>
      </c>
      <c r="B805" s="14" t="s">
        <v>1176</v>
      </c>
      <c r="C805" s="14"/>
      <c r="D805" s="9" t="s">
        <v>974</v>
      </c>
      <c r="E805" s="9" t="s">
        <v>1162</v>
      </c>
      <c r="J805" s="13"/>
      <c r="K805" s="13"/>
    </row>
    <row r="806">
      <c r="A806" s="9">
        <v>587.0</v>
      </c>
      <c r="B806" s="14" t="s">
        <v>1177</v>
      </c>
      <c r="C806" s="14"/>
      <c r="D806" s="9" t="s">
        <v>1178</v>
      </c>
      <c r="E806" s="9" t="s">
        <v>1162</v>
      </c>
      <c r="J806" s="13"/>
      <c r="K806" s="13"/>
    </row>
    <row r="807">
      <c r="A807" s="9">
        <v>588.0</v>
      </c>
      <c r="B807" s="14" t="s">
        <v>1179</v>
      </c>
      <c r="C807" s="14"/>
      <c r="D807" s="9" t="s">
        <v>615</v>
      </c>
      <c r="E807" s="9" t="s">
        <v>1162</v>
      </c>
      <c r="J807" s="13"/>
      <c r="K807" s="13"/>
    </row>
    <row r="808">
      <c r="A808" s="9">
        <v>589.0</v>
      </c>
      <c r="B808" s="14" t="s">
        <v>1180</v>
      </c>
      <c r="C808" s="14"/>
      <c r="D808" s="9" t="s">
        <v>1181</v>
      </c>
      <c r="E808" s="9" t="s">
        <v>1162</v>
      </c>
      <c r="J808" s="13"/>
      <c r="K808" s="13"/>
    </row>
    <row r="809">
      <c r="A809" s="9">
        <v>590.0</v>
      </c>
      <c r="B809" s="14" t="s">
        <v>1182</v>
      </c>
      <c r="C809" s="14"/>
      <c r="D809" s="9" t="s">
        <v>1183</v>
      </c>
      <c r="E809" s="9" t="s">
        <v>1162</v>
      </c>
      <c r="J809" s="13"/>
      <c r="K809" s="13"/>
    </row>
    <row r="810">
      <c r="A810" s="9">
        <v>591.0</v>
      </c>
      <c r="B810" s="14" t="s">
        <v>1184</v>
      </c>
      <c r="C810" s="14"/>
      <c r="D810" s="9" t="s">
        <v>1185</v>
      </c>
      <c r="E810" s="9" t="s">
        <v>1162</v>
      </c>
      <c r="J810" s="13"/>
      <c r="K810" s="13"/>
    </row>
    <row r="811">
      <c r="A811" s="9">
        <v>592.0</v>
      </c>
      <c r="B811" s="14" t="s">
        <v>1186</v>
      </c>
      <c r="C811" s="14"/>
      <c r="D811" s="9" t="s">
        <v>885</v>
      </c>
      <c r="E811" s="9" t="s">
        <v>1162</v>
      </c>
      <c r="J811" s="13"/>
      <c r="K811" s="13"/>
    </row>
    <row r="812">
      <c r="A812" s="9">
        <v>593.0</v>
      </c>
      <c r="B812" s="14" t="s">
        <v>1187</v>
      </c>
      <c r="C812" s="14"/>
      <c r="D812" s="9" t="s">
        <v>945</v>
      </c>
      <c r="E812" s="9" t="s">
        <v>1162</v>
      </c>
      <c r="J812" s="13"/>
      <c r="K812" s="13"/>
    </row>
    <row r="813">
      <c r="A813" s="9">
        <v>594.0</v>
      </c>
      <c r="B813" s="14" t="s">
        <v>1188</v>
      </c>
      <c r="C813" s="14"/>
      <c r="D813" s="9" t="s">
        <v>1189</v>
      </c>
      <c r="E813" s="9" t="s">
        <v>1162</v>
      </c>
      <c r="J813" s="13"/>
      <c r="K813" s="13"/>
    </row>
    <row r="814">
      <c r="A814" s="9">
        <v>595.0</v>
      </c>
      <c r="B814" s="14" t="s">
        <v>1190</v>
      </c>
      <c r="C814" s="14"/>
      <c r="D814" s="9" t="s">
        <v>807</v>
      </c>
      <c r="E814" s="9" t="s">
        <v>1162</v>
      </c>
      <c r="J814" s="13"/>
      <c r="K814" s="13"/>
    </row>
    <row r="815">
      <c r="A815" s="9">
        <v>596.0</v>
      </c>
      <c r="B815" s="14" t="s">
        <v>1191</v>
      </c>
      <c r="C815" s="14"/>
      <c r="D815" s="9" t="s">
        <v>989</v>
      </c>
      <c r="E815" s="9" t="s">
        <v>1162</v>
      </c>
      <c r="J815" s="13"/>
      <c r="K815" s="13"/>
    </row>
    <row r="816">
      <c r="A816" s="9">
        <v>597.0</v>
      </c>
      <c r="B816" s="14" t="s">
        <v>1192</v>
      </c>
      <c r="C816" s="14"/>
      <c r="D816" s="9" t="s">
        <v>1193</v>
      </c>
      <c r="E816" s="9" t="s">
        <v>1162</v>
      </c>
      <c r="J816" s="13"/>
      <c r="K816" s="13"/>
    </row>
    <row r="817">
      <c r="A817" s="9">
        <v>598.0</v>
      </c>
      <c r="B817" s="14" t="s">
        <v>1194</v>
      </c>
      <c r="C817" s="14"/>
      <c r="D817" s="9" t="s">
        <v>925</v>
      </c>
      <c r="E817" s="9" t="s">
        <v>1162</v>
      </c>
      <c r="J817" s="13"/>
      <c r="K817" s="13"/>
    </row>
    <row r="818">
      <c r="A818" s="9">
        <v>599.0</v>
      </c>
      <c r="B818" s="14" t="s">
        <v>1195</v>
      </c>
      <c r="C818" s="14"/>
      <c r="D818" s="9" t="s">
        <v>1196</v>
      </c>
      <c r="E818" s="9" t="s">
        <v>1162</v>
      </c>
      <c r="J818" s="13"/>
      <c r="K818" s="13"/>
    </row>
    <row r="819">
      <c r="A819" s="9">
        <v>600.0</v>
      </c>
      <c r="B819" s="14" t="s">
        <v>1197</v>
      </c>
      <c r="C819" s="14"/>
      <c r="D819" s="9" t="s">
        <v>1198</v>
      </c>
      <c r="E819" s="9" t="s">
        <v>1199</v>
      </c>
      <c r="J819" s="13"/>
      <c r="K819" s="13"/>
    </row>
    <row r="820">
      <c r="A820" s="9">
        <v>601.0</v>
      </c>
      <c r="B820" s="14" t="s">
        <v>1200</v>
      </c>
      <c r="C820" s="14"/>
      <c r="D820" s="9" t="s">
        <v>1070</v>
      </c>
      <c r="E820" s="9" t="s">
        <v>1199</v>
      </c>
      <c r="J820" s="13"/>
      <c r="K820" s="13"/>
    </row>
    <row r="821">
      <c r="A821" s="9">
        <v>602.0</v>
      </c>
      <c r="B821" s="14" t="s">
        <v>1201</v>
      </c>
      <c r="C821" s="14"/>
      <c r="D821" s="9" t="s">
        <v>811</v>
      </c>
      <c r="E821" s="9" t="s">
        <v>1199</v>
      </c>
      <c r="J821" s="13"/>
      <c r="K821" s="13"/>
    </row>
    <row r="822">
      <c r="A822" s="9">
        <v>603.0</v>
      </c>
      <c r="B822" s="14" t="s">
        <v>1202</v>
      </c>
      <c r="C822" s="14"/>
      <c r="D822" s="9" t="s">
        <v>844</v>
      </c>
      <c r="E822" s="9" t="s">
        <v>1199</v>
      </c>
      <c r="J822" s="13"/>
      <c r="K822" s="13"/>
    </row>
    <row r="823">
      <c r="A823" s="9">
        <v>604.0</v>
      </c>
      <c r="B823" s="14" t="s">
        <v>1203</v>
      </c>
      <c r="C823" s="14"/>
      <c r="D823" s="9" t="s">
        <v>1204</v>
      </c>
      <c r="E823" s="9" t="s">
        <v>1199</v>
      </c>
      <c r="J823" s="13"/>
      <c r="K823" s="13"/>
    </row>
    <row r="824">
      <c r="A824" s="9">
        <v>605.0</v>
      </c>
      <c r="B824" s="14" t="s">
        <v>1205</v>
      </c>
      <c r="C824" s="14"/>
      <c r="D824" s="9" t="s">
        <v>597</v>
      </c>
      <c r="E824" s="9" t="s">
        <v>1199</v>
      </c>
      <c r="J824" s="13"/>
      <c r="K824" s="13"/>
    </row>
    <row r="825">
      <c r="A825" s="9">
        <v>606.0</v>
      </c>
      <c r="B825" s="14" t="s">
        <v>1206</v>
      </c>
      <c r="C825" s="14"/>
      <c r="D825" s="9" t="s">
        <v>1077</v>
      </c>
      <c r="E825" s="9" t="s">
        <v>1199</v>
      </c>
      <c r="J825" s="13"/>
      <c r="K825" s="13"/>
    </row>
    <row r="826">
      <c r="A826" s="9">
        <v>607.0</v>
      </c>
      <c r="B826" s="14" t="s">
        <v>1207</v>
      </c>
      <c r="C826" s="14"/>
      <c r="D826" s="9" t="s">
        <v>257</v>
      </c>
      <c r="E826" s="9" t="s">
        <v>1199</v>
      </c>
      <c r="J826" s="13"/>
      <c r="K826" s="13"/>
    </row>
    <row r="827">
      <c r="A827" s="9">
        <v>608.0</v>
      </c>
      <c r="B827" s="14" t="s">
        <v>1208</v>
      </c>
      <c r="C827" s="14"/>
      <c r="D827" s="9" t="s">
        <v>997</v>
      </c>
      <c r="E827" s="9" t="s">
        <v>1199</v>
      </c>
      <c r="J827" s="13"/>
      <c r="K827" s="13"/>
    </row>
    <row r="828">
      <c r="A828" s="9">
        <v>609.0</v>
      </c>
      <c r="B828" s="14" t="s">
        <v>1209</v>
      </c>
      <c r="C828" s="14"/>
      <c r="D828" s="10" t="s">
        <v>1210</v>
      </c>
      <c r="E828" s="9" t="s">
        <v>1199</v>
      </c>
      <c r="J828" s="13"/>
      <c r="K828" s="13"/>
    </row>
    <row r="829">
      <c r="A829" s="9"/>
      <c r="B829" s="14"/>
      <c r="C829" s="14"/>
      <c r="D829" s="10" t="s">
        <v>1211</v>
      </c>
      <c r="E829" s="9"/>
      <c r="J829" s="13"/>
      <c r="K829" s="13"/>
    </row>
    <row r="830">
      <c r="A830" s="9">
        <v>610.0</v>
      </c>
      <c r="B830" s="14" t="s">
        <v>1212</v>
      </c>
      <c r="C830" s="14"/>
      <c r="D830" s="9" t="s">
        <v>790</v>
      </c>
      <c r="E830" s="9" t="s">
        <v>1199</v>
      </c>
      <c r="J830" s="13"/>
      <c r="K830" s="13"/>
    </row>
    <row r="831">
      <c r="A831" s="9">
        <v>611.0</v>
      </c>
      <c r="B831" s="14" t="s">
        <v>1213</v>
      </c>
      <c r="C831" s="14"/>
      <c r="D831" s="9" t="s">
        <v>1214</v>
      </c>
      <c r="E831" s="9" t="s">
        <v>1199</v>
      </c>
      <c r="J831" s="13"/>
      <c r="K831" s="13"/>
    </row>
    <row r="832">
      <c r="A832" s="9">
        <v>612.0</v>
      </c>
      <c r="B832" s="14" t="s">
        <v>1215</v>
      </c>
      <c r="C832" s="14"/>
      <c r="D832" s="9" t="s">
        <v>1108</v>
      </c>
      <c r="E832" s="9" t="s">
        <v>1199</v>
      </c>
      <c r="J832" s="13"/>
      <c r="K832" s="13"/>
    </row>
    <row r="833">
      <c r="A833" s="9">
        <v>613.0</v>
      </c>
      <c r="B833" s="14" t="s">
        <v>1216</v>
      </c>
      <c r="C833" s="14"/>
      <c r="D833" s="9" t="s">
        <v>1217</v>
      </c>
      <c r="E833" s="9" t="s">
        <v>1199</v>
      </c>
      <c r="J833" s="13"/>
      <c r="K833" s="13"/>
    </row>
    <row r="834">
      <c r="A834" s="9">
        <v>614.0</v>
      </c>
      <c r="B834" s="14" t="s">
        <v>1218</v>
      </c>
      <c r="C834" s="14"/>
      <c r="D834" s="9" t="s">
        <v>604</v>
      </c>
      <c r="E834" s="9" t="s">
        <v>1199</v>
      </c>
      <c r="J834" s="13"/>
      <c r="K834" s="13"/>
    </row>
    <row r="835">
      <c r="A835" s="9">
        <v>615.0</v>
      </c>
      <c r="B835" s="14" t="s">
        <v>1219</v>
      </c>
      <c r="C835" s="14"/>
      <c r="D835" s="9" t="s">
        <v>1132</v>
      </c>
      <c r="E835" s="9" t="s">
        <v>1199</v>
      </c>
      <c r="J835" s="13"/>
      <c r="K835" s="13"/>
    </row>
    <row r="836">
      <c r="A836" s="9">
        <v>616.0</v>
      </c>
      <c r="B836" s="14" t="s">
        <v>1220</v>
      </c>
      <c r="C836" s="14"/>
      <c r="D836" s="9" t="s">
        <v>1042</v>
      </c>
      <c r="E836" s="9" t="s">
        <v>1199</v>
      </c>
      <c r="J836" s="13"/>
      <c r="K836" s="13"/>
    </row>
    <row r="837">
      <c r="A837" s="9">
        <v>617.0</v>
      </c>
      <c r="B837" s="14" t="s">
        <v>1221</v>
      </c>
      <c r="C837" s="14"/>
      <c r="D837" s="9" t="s">
        <v>1222</v>
      </c>
      <c r="E837" s="9" t="s">
        <v>1199</v>
      </c>
      <c r="J837" s="13"/>
      <c r="K837" s="13"/>
    </row>
    <row r="838">
      <c r="A838" s="9">
        <v>618.0</v>
      </c>
      <c r="B838" s="14" t="s">
        <v>1223</v>
      </c>
      <c r="C838" s="14"/>
      <c r="D838" s="9" t="s">
        <v>1224</v>
      </c>
      <c r="E838" s="9" t="s">
        <v>1199</v>
      </c>
      <c r="J838" s="13"/>
      <c r="K838" s="13"/>
    </row>
    <row r="839">
      <c r="A839" s="9">
        <v>619.0</v>
      </c>
      <c r="B839" s="14" t="s">
        <v>1225</v>
      </c>
      <c r="C839" s="14"/>
      <c r="D839" s="9" t="s">
        <v>1022</v>
      </c>
      <c r="E839" s="9" t="s">
        <v>1199</v>
      </c>
      <c r="J839" s="13"/>
      <c r="K839" s="13"/>
    </row>
    <row r="840">
      <c r="A840" s="9">
        <v>620.0</v>
      </c>
      <c r="B840" s="14" t="s">
        <v>1226</v>
      </c>
      <c r="C840" s="14"/>
      <c r="D840" s="9" t="s">
        <v>563</v>
      </c>
      <c r="E840" s="9" t="s">
        <v>1199</v>
      </c>
      <c r="J840" s="13"/>
      <c r="K840" s="13"/>
    </row>
    <row r="841">
      <c r="A841" s="9">
        <v>621.0</v>
      </c>
      <c r="B841" s="14" t="s">
        <v>1227</v>
      </c>
      <c r="C841" s="14"/>
      <c r="D841" s="9" t="s">
        <v>832</v>
      </c>
      <c r="E841" s="9" t="s">
        <v>1199</v>
      </c>
      <c r="J841" s="13"/>
      <c r="K841" s="13"/>
    </row>
    <row r="842">
      <c r="A842" s="9">
        <v>622.0</v>
      </c>
      <c r="B842" s="14" t="s">
        <v>378</v>
      </c>
      <c r="C842" s="14"/>
      <c r="D842" s="9" t="s">
        <v>1228</v>
      </c>
      <c r="E842" s="9" t="s">
        <v>1199</v>
      </c>
      <c r="J842" s="13"/>
      <c r="K842" s="13"/>
    </row>
    <row r="843">
      <c r="A843" s="9">
        <v>623.0</v>
      </c>
      <c r="B843" s="14" t="s">
        <v>1229</v>
      </c>
      <c r="C843" s="14"/>
      <c r="D843" s="9" t="s">
        <v>1154</v>
      </c>
      <c r="E843" s="9" t="s">
        <v>1199</v>
      </c>
      <c r="J843" s="13"/>
      <c r="K843" s="13"/>
    </row>
    <row r="844">
      <c r="A844" s="9">
        <v>624.0</v>
      </c>
      <c r="B844" s="14" t="s">
        <v>1230</v>
      </c>
      <c r="C844" s="14"/>
      <c r="D844" s="9" t="s">
        <v>1231</v>
      </c>
      <c r="E844" s="9" t="s">
        <v>1199</v>
      </c>
      <c r="J844" s="13"/>
      <c r="K844" s="13"/>
    </row>
    <row r="845">
      <c r="A845" s="9">
        <v>625.0</v>
      </c>
      <c r="B845" s="14" t="s">
        <v>1232</v>
      </c>
      <c r="C845" s="14"/>
      <c r="D845" s="9" t="s">
        <v>520</v>
      </c>
      <c r="E845" s="9" t="s">
        <v>1199</v>
      </c>
      <c r="J845" s="13"/>
      <c r="K845" s="13"/>
    </row>
    <row r="846">
      <c r="A846" s="9">
        <v>626.0</v>
      </c>
      <c r="B846" s="14" t="s">
        <v>1233</v>
      </c>
      <c r="C846" s="14"/>
      <c r="D846" s="9" t="s">
        <v>1234</v>
      </c>
      <c r="E846" s="9" t="s">
        <v>1199</v>
      </c>
      <c r="J846" s="13"/>
      <c r="K846" s="13"/>
    </row>
    <row r="847">
      <c r="A847" s="9">
        <v>627.0</v>
      </c>
      <c r="B847" s="14" t="s">
        <v>1235</v>
      </c>
      <c r="C847" s="14"/>
      <c r="D847" s="9" t="s">
        <v>974</v>
      </c>
      <c r="E847" s="9" t="s">
        <v>1199</v>
      </c>
      <c r="J847" s="13"/>
      <c r="K847" s="13"/>
    </row>
    <row r="848">
      <c r="A848" s="9">
        <v>628.0</v>
      </c>
      <c r="B848" s="14" t="s">
        <v>1236</v>
      </c>
      <c r="C848" s="14"/>
      <c r="D848" s="9" t="s">
        <v>813</v>
      </c>
      <c r="E848" s="9" t="s">
        <v>1199</v>
      </c>
      <c r="J848" s="13"/>
      <c r="K848" s="13"/>
    </row>
    <row r="849">
      <c r="A849" s="9">
        <v>629.0</v>
      </c>
      <c r="B849" s="14" t="s">
        <v>1237</v>
      </c>
      <c r="C849" s="14"/>
      <c r="D849" s="9" t="s">
        <v>1017</v>
      </c>
      <c r="E849" s="9" t="s">
        <v>1199</v>
      </c>
      <c r="J849" s="13"/>
      <c r="K849" s="13"/>
    </row>
    <row r="850">
      <c r="A850" s="9">
        <v>630.0</v>
      </c>
      <c r="B850" s="14" t="s">
        <v>1238</v>
      </c>
      <c r="C850" s="14"/>
      <c r="D850" s="9" t="s">
        <v>802</v>
      </c>
      <c r="E850" s="9" t="s">
        <v>1199</v>
      </c>
      <c r="J850" s="13"/>
      <c r="K850" s="13"/>
    </row>
    <row r="851">
      <c r="A851" s="9">
        <v>631.0</v>
      </c>
      <c r="B851" s="14" t="s">
        <v>1239</v>
      </c>
      <c r="C851" s="14"/>
      <c r="D851" s="9" t="s">
        <v>1240</v>
      </c>
      <c r="E851" s="9" t="s">
        <v>1241</v>
      </c>
      <c r="J851" s="13"/>
      <c r="K851" s="13"/>
    </row>
    <row r="852">
      <c r="A852" s="9">
        <v>632.0</v>
      </c>
      <c r="B852" s="14" t="s">
        <v>1242</v>
      </c>
      <c r="C852" s="14"/>
      <c r="D852" s="9" t="s">
        <v>781</v>
      </c>
      <c r="E852" s="9" t="s">
        <v>1241</v>
      </c>
      <c r="J852" s="13"/>
      <c r="K852" s="13"/>
    </row>
    <row r="853">
      <c r="A853" s="9">
        <v>633.0</v>
      </c>
      <c r="B853" s="14" t="s">
        <v>1243</v>
      </c>
      <c r="C853" s="14"/>
      <c r="D853" s="9" t="s">
        <v>1244</v>
      </c>
      <c r="E853" s="9" t="s">
        <v>1241</v>
      </c>
      <c r="J853" s="13"/>
      <c r="K853" s="13"/>
    </row>
    <row r="854">
      <c r="A854" s="9">
        <v>634.0</v>
      </c>
      <c r="B854" s="14" t="s">
        <v>1245</v>
      </c>
      <c r="C854" s="14"/>
      <c r="D854" s="9" t="s">
        <v>1135</v>
      </c>
      <c r="E854" s="9" t="s">
        <v>1241</v>
      </c>
      <c r="J854" s="13"/>
      <c r="K854" s="13"/>
    </row>
    <row r="855">
      <c r="A855" s="9">
        <v>635.0</v>
      </c>
      <c r="B855" s="14" t="s">
        <v>1246</v>
      </c>
      <c r="C855" s="14"/>
      <c r="D855" s="9" t="s">
        <v>706</v>
      </c>
      <c r="E855" s="9" t="s">
        <v>1241</v>
      </c>
      <c r="J855" s="13"/>
      <c r="K855" s="13"/>
    </row>
    <row r="856">
      <c r="A856" s="9">
        <v>636.0</v>
      </c>
      <c r="B856" s="14" t="s">
        <v>1247</v>
      </c>
      <c r="C856" s="14"/>
      <c r="D856" s="9" t="s">
        <v>1248</v>
      </c>
      <c r="E856" s="9" t="s">
        <v>1241</v>
      </c>
      <c r="J856" s="13"/>
      <c r="K856" s="13"/>
    </row>
    <row r="857">
      <c r="A857" s="9">
        <v>637.0</v>
      </c>
      <c r="B857" s="14" t="s">
        <v>1249</v>
      </c>
      <c r="C857" s="14"/>
      <c r="D857" s="9" t="s">
        <v>754</v>
      </c>
      <c r="E857" s="9" t="s">
        <v>1241</v>
      </c>
      <c r="J857" s="13"/>
      <c r="K857" s="13"/>
    </row>
    <row r="858">
      <c r="A858" s="9">
        <v>638.0</v>
      </c>
      <c r="B858" s="14" t="s">
        <v>1250</v>
      </c>
      <c r="C858" s="14"/>
      <c r="D858" s="9" t="s">
        <v>1251</v>
      </c>
      <c r="E858" s="9" t="s">
        <v>1241</v>
      </c>
      <c r="J858" s="13"/>
      <c r="K858" s="13"/>
    </row>
    <row r="859">
      <c r="A859" s="9">
        <v>639.0</v>
      </c>
      <c r="B859" s="14" t="s">
        <v>1252</v>
      </c>
      <c r="C859" s="14"/>
      <c r="D859" s="9" t="s">
        <v>1253</v>
      </c>
      <c r="E859" s="9" t="s">
        <v>1241</v>
      </c>
      <c r="J859" s="13"/>
      <c r="K859" s="13"/>
    </row>
    <row r="860">
      <c r="A860" s="9">
        <v>640.0</v>
      </c>
      <c r="B860" s="14" t="s">
        <v>1254</v>
      </c>
      <c r="C860" s="14"/>
      <c r="D860" s="9" t="s">
        <v>896</v>
      </c>
      <c r="E860" s="9" t="s">
        <v>1241</v>
      </c>
      <c r="J860" s="13"/>
      <c r="K860" s="13"/>
    </row>
    <row r="861">
      <c r="A861" s="9">
        <v>641.0</v>
      </c>
      <c r="B861" s="14" t="s">
        <v>1255</v>
      </c>
      <c r="C861" s="14"/>
      <c r="D861" s="9" t="s">
        <v>1256</v>
      </c>
      <c r="E861" s="9" t="s">
        <v>1241</v>
      </c>
      <c r="J861" s="13"/>
      <c r="K861" s="13"/>
    </row>
    <row r="862">
      <c r="A862" s="9">
        <v>642.0</v>
      </c>
      <c r="B862" s="14" t="s">
        <v>1257</v>
      </c>
      <c r="C862" s="14"/>
      <c r="D862" s="9" t="s">
        <v>1258</v>
      </c>
      <c r="E862" s="9" t="s">
        <v>1241</v>
      </c>
      <c r="J862" s="13"/>
      <c r="K862" s="13"/>
    </row>
    <row r="863">
      <c r="A863" s="9">
        <v>643.0</v>
      </c>
      <c r="B863" s="14" t="s">
        <v>1259</v>
      </c>
      <c r="C863" s="14"/>
      <c r="D863" s="9" t="s">
        <v>1120</v>
      </c>
      <c r="E863" s="9" t="s">
        <v>1241</v>
      </c>
      <c r="J863" s="13"/>
      <c r="K863" s="13"/>
    </row>
    <row r="864">
      <c r="A864" s="9">
        <v>644.0</v>
      </c>
      <c r="B864" s="14" t="s">
        <v>1260</v>
      </c>
      <c r="C864" s="14"/>
      <c r="D864" s="9" t="s">
        <v>604</v>
      </c>
      <c r="E864" s="9" t="s">
        <v>1241</v>
      </c>
      <c r="J864" s="13"/>
      <c r="K864" s="13"/>
    </row>
    <row r="865">
      <c r="A865" s="9">
        <v>645.0</v>
      </c>
      <c r="B865" s="14" t="s">
        <v>1261</v>
      </c>
      <c r="C865" s="14"/>
      <c r="D865" s="9" t="s">
        <v>1262</v>
      </c>
      <c r="E865" s="9" t="s">
        <v>1241</v>
      </c>
      <c r="J865" s="13"/>
      <c r="K865" s="13"/>
    </row>
    <row r="866">
      <c r="A866" s="9">
        <v>646.0</v>
      </c>
      <c r="B866" s="14" t="s">
        <v>1263</v>
      </c>
      <c r="C866" s="14"/>
      <c r="D866" s="9" t="s">
        <v>1146</v>
      </c>
      <c r="E866" s="9" t="s">
        <v>1241</v>
      </c>
      <c r="J866" s="13"/>
      <c r="K866" s="13"/>
    </row>
    <row r="867">
      <c r="A867" s="9">
        <v>647.0</v>
      </c>
      <c r="B867" s="14" t="s">
        <v>1264</v>
      </c>
      <c r="C867" s="14"/>
      <c r="D867" s="9" t="s">
        <v>1265</v>
      </c>
      <c r="E867" s="9" t="s">
        <v>1241</v>
      </c>
      <c r="J867" s="13"/>
      <c r="K867" s="13"/>
    </row>
    <row r="868">
      <c r="A868" s="9">
        <v>648.0</v>
      </c>
      <c r="B868" s="14" t="s">
        <v>1266</v>
      </c>
      <c r="C868" s="14"/>
      <c r="D868" s="9" t="s">
        <v>772</v>
      </c>
      <c r="E868" s="9" t="s">
        <v>1241</v>
      </c>
      <c r="J868" s="13"/>
      <c r="K868" s="13"/>
    </row>
    <row r="869">
      <c r="A869" s="9">
        <v>649.0</v>
      </c>
      <c r="B869" s="14" t="s">
        <v>1267</v>
      </c>
      <c r="C869" s="14"/>
      <c r="D869" s="9" t="s">
        <v>834</v>
      </c>
      <c r="E869" s="9" t="s">
        <v>1241</v>
      </c>
      <c r="J869" s="13"/>
      <c r="K869" s="13"/>
    </row>
    <row r="870">
      <c r="A870" s="9">
        <v>650.0</v>
      </c>
      <c r="B870" s="14" t="s">
        <v>1268</v>
      </c>
      <c r="C870" s="14"/>
      <c r="D870" s="9" t="s">
        <v>1269</v>
      </c>
      <c r="E870" s="9" t="s">
        <v>1241</v>
      </c>
      <c r="J870" s="13"/>
      <c r="K870" s="13"/>
    </row>
    <row r="871">
      <c r="A871" s="9">
        <v>651.0</v>
      </c>
      <c r="B871" s="14" t="s">
        <v>1270</v>
      </c>
      <c r="C871" s="14"/>
      <c r="D871" s="9" t="s">
        <v>1047</v>
      </c>
      <c r="E871" s="9" t="s">
        <v>1241</v>
      </c>
      <c r="J871" s="13"/>
      <c r="K871" s="13"/>
    </row>
    <row r="872">
      <c r="A872" s="9">
        <v>652.0</v>
      </c>
      <c r="B872" s="14" t="s">
        <v>1271</v>
      </c>
      <c r="C872" s="14"/>
      <c r="D872" s="9" t="s">
        <v>1272</v>
      </c>
      <c r="E872" s="9" t="s">
        <v>1241</v>
      </c>
      <c r="J872" s="13"/>
      <c r="K872" s="13"/>
    </row>
    <row r="873">
      <c r="A873" s="9">
        <v>653.0</v>
      </c>
      <c r="B873" s="14" t="s">
        <v>1273</v>
      </c>
      <c r="C873" s="14"/>
      <c r="D873" s="9" t="s">
        <v>1055</v>
      </c>
      <c r="E873" s="9" t="s">
        <v>1241</v>
      </c>
      <c r="J873" s="13"/>
      <c r="K873" s="13"/>
    </row>
    <row r="874">
      <c r="A874" s="9">
        <v>654.0</v>
      </c>
      <c r="B874" s="14" t="s">
        <v>1274</v>
      </c>
      <c r="C874" s="14"/>
      <c r="D874" s="9" t="s">
        <v>1275</v>
      </c>
      <c r="E874" s="9" t="s">
        <v>1241</v>
      </c>
      <c r="J874" s="13"/>
      <c r="K874" s="13"/>
    </row>
    <row r="875">
      <c r="A875" s="9">
        <v>655.0</v>
      </c>
      <c r="B875" s="14" t="s">
        <v>1276</v>
      </c>
      <c r="C875" s="14"/>
      <c r="D875" s="9" t="s">
        <v>1277</v>
      </c>
      <c r="E875" s="9" t="s">
        <v>1241</v>
      </c>
      <c r="J875" s="13"/>
      <c r="K875" s="13"/>
    </row>
    <row r="876">
      <c r="A876" s="9">
        <v>656.0</v>
      </c>
      <c r="B876" s="14" t="s">
        <v>1278</v>
      </c>
      <c r="C876" s="14"/>
      <c r="D876" s="9" t="s">
        <v>902</v>
      </c>
      <c r="E876" s="9" t="s">
        <v>1241</v>
      </c>
      <c r="J876" s="13"/>
      <c r="K876" s="13"/>
    </row>
    <row r="877">
      <c r="A877" s="9">
        <v>657.0</v>
      </c>
      <c r="B877" s="14" t="s">
        <v>1279</v>
      </c>
      <c r="C877" s="14"/>
      <c r="D877" s="9" t="s">
        <v>1090</v>
      </c>
      <c r="E877" s="9" t="s">
        <v>1241</v>
      </c>
      <c r="J877" s="13"/>
      <c r="K877" s="13"/>
    </row>
    <row r="878">
      <c r="A878" s="9">
        <v>658.0</v>
      </c>
      <c r="B878" s="14" t="s">
        <v>1280</v>
      </c>
      <c r="C878" s="14"/>
      <c r="D878" s="9" t="s">
        <v>1142</v>
      </c>
      <c r="E878" s="9" t="s">
        <v>1241</v>
      </c>
      <c r="J878" s="13"/>
      <c r="K878" s="13"/>
    </row>
    <row r="879">
      <c r="A879" s="9">
        <v>659.0</v>
      </c>
      <c r="B879" s="14" t="s">
        <v>1281</v>
      </c>
      <c r="C879" s="14"/>
      <c r="D879" s="9" t="s">
        <v>1282</v>
      </c>
      <c r="E879" s="9" t="s">
        <v>1241</v>
      </c>
      <c r="J879" s="13"/>
      <c r="K879" s="13"/>
    </row>
    <row r="880">
      <c r="A880" s="9">
        <v>660.0</v>
      </c>
      <c r="B880" s="14" t="s">
        <v>1283</v>
      </c>
      <c r="C880" s="14"/>
      <c r="D880" s="9" t="s">
        <v>1042</v>
      </c>
      <c r="E880" s="9" t="s">
        <v>1241</v>
      </c>
      <c r="J880" s="13"/>
      <c r="K880" s="13"/>
    </row>
    <row r="881">
      <c r="A881" s="9">
        <v>661.0</v>
      </c>
      <c r="B881" s="14" t="s">
        <v>1284</v>
      </c>
      <c r="C881" s="14"/>
      <c r="D881" s="9" t="s">
        <v>1285</v>
      </c>
      <c r="E881" s="9" t="s">
        <v>1241</v>
      </c>
      <c r="J881" s="13"/>
      <c r="K881" s="13"/>
    </row>
    <row r="882">
      <c r="A882" s="9">
        <v>662.0</v>
      </c>
      <c r="B882" s="14" t="s">
        <v>1286</v>
      </c>
      <c r="C882" s="14"/>
      <c r="D882" s="9" t="s">
        <v>1287</v>
      </c>
      <c r="E882" s="9" t="s">
        <v>1241</v>
      </c>
      <c r="J882" s="13"/>
      <c r="K882" s="13"/>
    </row>
    <row r="883">
      <c r="A883" s="9">
        <v>663.0</v>
      </c>
      <c r="B883" s="14" t="s">
        <v>1288</v>
      </c>
      <c r="C883" s="14"/>
      <c r="D883" s="9" t="s">
        <v>1289</v>
      </c>
      <c r="E883" s="9" t="s">
        <v>1241</v>
      </c>
      <c r="J883" s="13"/>
      <c r="K883" s="13"/>
    </row>
    <row r="884">
      <c r="A884" s="9">
        <v>664.0</v>
      </c>
      <c r="B884" s="14" t="s">
        <v>1290</v>
      </c>
      <c r="C884" s="14"/>
      <c r="D884" s="9" t="s">
        <v>1092</v>
      </c>
      <c r="E884" s="9" t="s">
        <v>1241</v>
      </c>
      <c r="J884" s="13"/>
      <c r="K884" s="13"/>
    </row>
    <row r="885">
      <c r="A885" s="9">
        <v>665.0</v>
      </c>
      <c r="B885" s="14" t="s">
        <v>1291</v>
      </c>
      <c r="C885" s="14"/>
      <c r="D885" s="9" t="s">
        <v>718</v>
      </c>
      <c r="E885" s="9" t="s">
        <v>1241</v>
      </c>
      <c r="J885" s="13"/>
      <c r="K885" s="13"/>
    </row>
    <row r="886">
      <c r="A886" s="9">
        <v>666.0</v>
      </c>
      <c r="B886" s="14" t="s">
        <v>1292</v>
      </c>
      <c r="C886" s="14"/>
      <c r="D886" s="9" t="s">
        <v>1293</v>
      </c>
      <c r="E886" s="9" t="s">
        <v>1241</v>
      </c>
      <c r="J886" s="13"/>
      <c r="K886" s="13"/>
    </row>
    <row r="887">
      <c r="A887" s="9">
        <v>667.0</v>
      </c>
      <c r="B887" s="14" t="s">
        <v>1294</v>
      </c>
      <c r="C887" s="14"/>
      <c r="D887" s="9" t="s">
        <v>911</v>
      </c>
      <c r="E887" s="9" t="s">
        <v>1241</v>
      </c>
      <c r="J887" s="13"/>
      <c r="K887" s="13"/>
    </row>
    <row r="888">
      <c r="A888" s="9">
        <v>668.0</v>
      </c>
      <c r="B888" s="14" t="s">
        <v>1295</v>
      </c>
      <c r="C888" s="14"/>
      <c r="D888" s="9" t="s">
        <v>1102</v>
      </c>
      <c r="E888" s="9" t="s">
        <v>1241</v>
      </c>
      <c r="J888" s="13"/>
      <c r="K888" s="13"/>
    </row>
    <row r="889">
      <c r="A889" s="9">
        <v>669.0</v>
      </c>
      <c r="B889" s="14" t="s">
        <v>1296</v>
      </c>
      <c r="C889" s="14"/>
      <c r="D889" s="9" t="s">
        <v>1001</v>
      </c>
      <c r="E889" s="9" t="s">
        <v>1241</v>
      </c>
      <c r="J889" s="13"/>
      <c r="K889" s="13"/>
    </row>
    <row r="890">
      <c r="A890" s="9">
        <v>670.0</v>
      </c>
      <c r="B890" s="14" t="s">
        <v>1297</v>
      </c>
      <c r="C890" s="14"/>
      <c r="D890" s="9" t="s">
        <v>1298</v>
      </c>
      <c r="E890" s="9" t="s">
        <v>1241</v>
      </c>
      <c r="J890" s="13"/>
      <c r="K890" s="13"/>
    </row>
    <row r="891">
      <c r="A891" s="9">
        <v>671.0</v>
      </c>
      <c r="B891" s="14" t="s">
        <v>1299</v>
      </c>
      <c r="C891" s="14"/>
      <c r="D891" s="9" t="s">
        <v>1300</v>
      </c>
      <c r="E891" s="9" t="s">
        <v>1241</v>
      </c>
      <c r="J891" s="13"/>
      <c r="K891" s="13"/>
    </row>
    <row r="892">
      <c r="A892" s="9">
        <v>672.0</v>
      </c>
      <c r="B892" s="14" t="s">
        <v>1301</v>
      </c>
      <c r="C892" s="14"/>
      <c r="D892" s="9" t="s">
        <v>1302</v>
      </c>
      <c r="E892" s="9" t="s">
        <v>1241</v>
      </c>
      <c r="J892" s="13"/>
      <c r="K892" s="13"/>
    </row>
    <row r="893">
      <c r="A893" s="9">
        <v>673.0</v>
      </c>
      <c r="B893" s="14" t="s">
        <v>1303</v>
      </c>
      <c r="C893" s="14"/>
      <c r="D893" s="9" t="s">
        <v>1015</v>
      </c>
      <c r="E893" s="9" t="s">
        <v>1241</v>
      </c>
      <c r="J893" s="13"/>
      <c r="K893" s="13"/>
    </row>
    <row r="894">
      <c r="A894" s="9">
        <v>674.0</v>
      </c>
      <c r="B894" s="14" t="s">
        <v>1304</v>
      </c>
      <c r="C894" s="14"/>
      <c r="D894" s="9" t="s">
        <v>1305</v>
      </c>
      <c r="E894" s="9" t="s">
        <v>1241</v>
      </c>
      <c r="J894" s="13"/>
      <c r="K894" s="13"/>
    </row>
    <row r="895">
      <c r="A895" s="9">
        <v>675.0</v>
      </c>
      <c r="B895" s="14" t="s">
        <v>1306</v>
      </c>
      <c r="C895" s="14"/>
      <c r="D895" s="9" t="s">
        <v>1307</v>
      </c>
      <c r="E895" s="9" t="s">
        <v>1241</v>
      </c>
      <c r="J895" s="13"/>
      <c r="K895" s="13"/>
    </row>
    <row r="896">
      <c r="A896" s="9">
        <v>676.0</v>
      </c>
      <c r="B896" s="14" t="s">
        <v>1308</v>
      </c>
      <c r="C896" s="14"/>
      <c r="D896" s="9" t="s">
        <v>1058</v>
      </c>
      <c r="E896" s="9" t="s">
        <v>1241</v>
      </c>
      <c r="J896" s="13"/>
      <c r="K896" s="13"/>
    </row>
    <row r="897">
      <c r="A897" s="9">
        <v>677.0</v>
      </c>
      <c r="B897" s="14" t="s">
        <v>1309</v>
      </c>
      <c r="C897" s="14"/>
      <c r="D897" s="9" t="s">
        <v>1310</v>
      </c>
      <c r="E897" s="9" t="s">
        <v>1241</v>
      </c>
      <c r="J897" s="13"/>
      <c r="K897" s="13"/>
    </row>
    <row r="898">
      <c r="A898" s="9">
        <v>678.0</v>
      </c>
      <c r="B898" s="14" t="s">
        <v>1311</v>
      </c>
      <c r="C898" s="14"/>
      <c r="D898" s="9" t="s">
        <v>1312</v>
      </c>
      <c r="E898" s="9" t="s">
        <v>1241</v>
      </c>
      <c r="J898" s="13"/>
      <c r="K898" s="13"/>
    </row>
    <row r="899">
      <c r="A899" s="9">
        <v>679.0</v>
      </c>
      <c r="B899" s="14" t="s">
        <v>1313</v>
      </c>
      <c r="C899" s="14"/>
      <c r="D899" s="9" t="s">
        <v>971</v>
      </c>
      <c r="E899" s="9" t="s">
        <v>1241</v>
      </c>
      <c r="J899" s="13"/>
      <c r="K899" s="13"/>
    </row>
    <row r="900">
      <c r="A900" s="9">
        <v>680.0</v>
      </c>
      <c r="B900" s="14" t="s">
        <v>1314</v>
      </c>
      <c r="C900" s="14"/>
      <c r="D900" s="9" t="s">
        <v>1135</v>
      </c>
      <c r="E900" s="9" t="s">
        <v>1315</v>
      </c>
      <c r="J900" s="13"/>
      <c r="K900" s="13"/>
    </row>
    <row r="901">
      <c r="A901" s="9">
        <v>681.0</v>
      </c>
      <c r="B901" s="14" t="s">
        <v>1316</v>
      </c>
      <c r="C901" s="14"/>
      <c r="D901" s="9" t="s">
        <v>1317</v>
      </c>
      <c r="E901" s="9" t="s">
        <v>1315</v>
      </c>
      <c r="J901" s="13"/>
      <c r="K901" s="13"/>
    </row>
    <row r="902">
      <c r="A902" s="9">
        <v>682.0</v>
      </c>
      <c r="B902" s="14" t="s">
        <v>1318</v>
      </c>
      <c r="C902" s="14"/>
      <c r="D902" s="9" t="s">
        <v>1319</v>
      </c>
      <c r="E902" s="9" t="s">
        <v>1315</v>
      </c>
      <c r="J902" s="13"/>
      <c r="K902" s="13"/>
    </row>
    <row r="903">
      <c r="A903" s="9">
        <v>683.0</v>
      </c>
      <c r="B903" s="14" t="s">
        <v>1320</v>
      </c>
      <c r="C903" s="14"/>
      <c r="D903" s="9" t="s">
        <v>1321</v>
      </c>
      <c r="E903" s="9" t="s">
        <v>1315</v>
      </c>
      <c r="J903" s="13"/>
      <c r="K903" s="13"/>
    </row>
    <row r="904">
      <c r="A904" s="9">
        <v>684.0</v>
      </c>
      <c r="B904" s="14" t="s">
        <v>1322</v>
      </c>
      <c r="C904" s="14"/>
      <c r="D904" s="9" t="s">
        <v>1161</v>
      </c>
      <c r="E904" s="9" t="s">
        <v>1315</v>
      </c>
      <c r="J904" s="13"/>
      <c r="K904" s="13"/>
    </row>
    <row r="905">
      <c r="A905" s="9">
        <v>685.0</v>
      </c>
      <c r="B905" s="14" t="s">
        <v>1323</v>
      </c>
      <c r="C905" s="14"/>
      <c r="D905" s="9" t="s">
        <v>1324</v>
      </c>
      <c r="E905" s="9" t="s">
        <v>1315</v>
      </c>
      <c r="J905" s="13"/>
      <c r="K905" s="13"/>
    </row>
    <row r="906">
      <c r="A906" s="9">
        <v>686.0</v>
      </c>
      <c r="B906" s="14" t="s">
        <v>1325</v>
      </c>
      <c r="C906" s="14"/>
      <c r="D906" s="9" t="s">
        <v>667</v>
      </c>
      <c r="E906" s="9" t="s">
        <v>1315</v>
      </c>
      <c r="J906" s="13"/>
      <c r="K906" s="13"/>
    </row>
    <row r="907">
      <c r="A907" s="9">
        <v>687.0</v>
      </c>
      <c r="B907" s="14" t="s">
        <v>1326</v>
      </c>
      <c r="C907" s="14"/>
      <c r="D907" s="9" t="s">
        <v>1327</v>
      </c>
      <c r="E907" s="9" t="s">
        <v>1315</v>
      </c>
      <c r="J907" s="13"/>
      <c r="K907" s="13"/>
    </row>
    <row r="908">
      <c r="A908" s="9">
        <v>688.0</v>
      </c>
      <c r="B908" s="14" t="s">
        <v>1328</v>
      </c>
      <c r="C908" s="14"/>
      <c r="D908" s="9" t="s">
        <v>1329</v>
      </c>
      <c r="E908" s="9" t="s">
        <v>1315</v>
      </c>
      <c r="J908" s="13"/>
      <c r="K908" s="13"/>
    </row>
    <row r="909">
      <c r="A909" s="9">
        <v>689.0</v>
      </c>
      <c r="B909" s="14" t="s">
        <v>1330</v>
      </c>
      <c r="C909" s="14"/>
      <c r="D909" s="9" t="s">
        <v>994</v>
      </c>
      <c r="E909" s="9" t="s">
        <v>1315</v>
      </c>
      <c r="J909" s="13"/>
      <c r="K909" s="13"/>
    </row>
    <row r="910">
      <c r="A910" s="9">
        <v>690.0</v>
      </c>
      <c r="B910" s="14" t="s">
        <v>1331</v>
      </c>
      <c r="C910" s="14"/>
      <c r="D910" s="10" t="s">
        <v>1332</v>
      </c>
      <c r="E910" s="9" t="s">
        <v>1315</v>
      </c>
      <c r="J910" s="13"/>
      <c r="K910" s="13"/>
    </row>
    <row r="911">
      <c r="A911" s="9"/>
      <c r="B911" s="14"/>
      <c r="C911" s="14"/>
      <c r="D911" s="10" t="s">
        <v>1333</v>
      </c>
      <c r="E911" s="9"/>
      <c r="J911" s="13"/>
      <c r="K911" s="13"/>
    </row>
    <row r="912">
      <c r="A912" s="9">
        <v>691.0</v>
      </c>
      <c r="B912" s="14" t="s">
        <v>1334</v>
      </c>
      <c r="C912" s="14"/>
      <c r="D912" s="9" t="s">
        <v>1335</v>
      </c>
      <c r="E912" s="9" t="s">
        <v>1315</v>
      </c>
      <c r="J912" s="13"/>
      <c r="K912" s="13"/>
    </row>
    <row r="913">
      <c r="A913" s="9">
        <v>692.0</v>
      </c>
      <c r="B913" s="14" t="s">
        <v>1336</v>
      </c>
      <c r="C913" s="14"/>
      <c r="D913" s="9" t="s">
        <v>1062</v>
      </c>
      <c r="E913" s="9" t="s">
        <v>1315</v>
      </c>
      <c r="J913" s="13"/>
      <c r="K913" s="13"/>
    </row>
    <row r="914">
      <c r="A914" s="9">
        <v>693.0</v>
      </c>
      <c r="B914" s="14" t="s">
        <v>1337</v>
      </c>
      <c r="C914" s="14"/>
      <c r="D914" s="9" t="s">
        <v>1338</v>
      </c>
      <c r="E914" s="9" t="s">
        <v>1315</v>
      </c>
      <c r="J914" s="13"/>
      <c r="K914" s="13"/>
    </row>
    <row r="915">
      <c r="A915" s="9">
        <v>694.0</v>
      </c>
      <c r="B915" s="14" t="s">
        <v>1339</v>
      </c>
      <c r="C915" s="14"/>
      <c r="D915" s="9" t="s">
        <v>1340</v>
      </c>
      <c r="E915" s="9" t="s">
        <v>1315</v>
      </c>
      <c r="J915" s="13"/>
      <c r="K915" s="13"/>
    </row>
    <row r="916">
      <c r="A916" s="9">
        <v>695.0</v>
      </c>
      <c r="B916" s="14" t="s">
        <v>1341</v>
      </c>
      <c r="C916" s="14"/>
      <c r="D916" s="9" t="s">
        <v>685</v>
      </c>
      <c r="E916" s="9" t="s">
        <v>1315</v>
      </c>
      <c r="J916" s="13"/>
      <c r="K916" s="13"/>
    </row>
    <row r="917">
      <c r="A917" s="9">
        <v>696.0</v>
      </c>
      <c r="B917" s="14" t="s">
        <v>1342</v>
      </c>
      <c r="C917" s="14"/>
      <c r="D917" s="10" t="s">
        <v>1066</v>
      </c>
      <c r="E917" s="9" t="s">
        <v>1315</v>
      </c>
      <c r="J917" s="13"/>
      <c r="K917" s="13"/>
    </row>
    <row r="918">
      <c r="A918" s="9"/>
      <c r="B918" s="14"/>
      <c r="C918" s="14"/>
      <c r="D918" s="10" t="s">
        <v>1067</v>
      </c>
      <c r="E918" s="9"/>
      <c r="J918" s="13"/>
      <c r="K918" s="13"/>
    </row>
    <row r="919">
      <c r="A919" s="9">
        <v>697.0</v>
      </c>
      <c r="B919" s="14" t="s">
        <v>1343</v>
      </c>
      <c r="C919" s="14"/>
      <c r="D919" s="9" t="s">
        <v>989</v>
      </c>
      <c r="E919" s="9" t="s">
        <v>1315</v>
      </c>
      <c r="J919" s="13"/>
      <c r="K919" s="13"/>
    </row>
    <row r="920">
      <c r="A920" s="9">
        <v>698.0</v>
      </c>
      <c r="B920" s="14" t="s">
        <v>1344</v>
      </c>
      <c r="C920" s="14"/>
      <c r="D920" s="9" t="s">
        <v>1345</v>
      </c>
      <c r="E920" s="9" t="s">
        <v>1315</v>
      </c>
      <c r="J920" s="13"/>
      <c r="K920" s="13"/>
    </row>
    <row r="921">
      <c r="A921" s="9">
        <v>699.0</v>
      </c>
      <c r="B921" s="14" t="s">
        <v>1346</v>
      </c>
      <c r="C921" s="14"/>
      <c r="D921" s="9" t="s">
        <v>1037</v>
      </c>
      <c r="E921" s="9" t="s">
        <v>1315</v>
      </c>
      <c r="J921" s="13"/>
      <c r="K921" s="13"/>
    </row>
    <row r="922">
      <c r="A922" s="9">
        <v>700.0</v>
      </c>
      <c r="B922" s="14" t="s">
        <v>1347</v>
      </c>
      <c r="C922" s="14"/>
      <c r="D922" s="9" t="s">
        <v>490</v>
      </c>
      <c r="E922" s="9" t="s">
        <v>1315</v>
      </c>
      <c r="J922" s="13"/>
      <c r="K922" s="13"/>
    </row>
    <row r="923">
      <c r="A923" s="9">
        <v>701.0</v>
      </c>
      <c r="B923" s="14" t="s">
        <v>1348</v>
      </c>
      <c r="C923" s="14"/>
      <c r="D923" s="9" t="s">
        <v>1349</v>
      </c>
      <c r="E923" s="9" t="s">
        <v>1315</v>
      </c>
      <c r="J923" s="13"/>
      <c r="K923" s="13"/>
    </row>
    <row r="924">
      <c r="A924" s="9">
        <v>702.0</v>
      </c>
      <c r="B924" s="14" t="s">
        <v>1350</v>
      </c>
      <c r="C924" s="14"/>
      <c r="D924" s="9" t="s">
        <v>1351</v>
      </c>
      <c r="E924" s="9" t="s">
        <v>1315</v>
      </c>
      <c r="J924" s="13"/>
      <c r="K924" s="13"/>
    </row>
    <row r="925">
      <c r="A925" s="9">
        <v>703.0</v>
      </c>
      <c r="B925" s="14" t="s">
        <v>1352</v>
      </c>
      <c r="C925" s="14"/>
      <c r="D925" s="9" t="s">
        <v>945</v>
      </c>
      <c r="E925" s="9" t="s">
        <v>1315</v>
      </c>
      <c r="J925" s="13"/>
      <c r="K925" s="13"/>
    </row>
    <row r="926">
      <c r="A926" s="9">
        <v>704.0</v>
      </c>
      <c r="B926" s="14" t="s">
        <v>1353</v>
      </c>
      <c r="C926" s="14"/>
      <c r="D926" s="9" t="s">
        <v>1354</v>
      </c>
      <c r="E926" s="9" t="s">
        <v>1315</v>
      </c>
      <c r="J926" s="13"/>
      <c r="K926" s="13"/>
    </row>
    <row r="927">
      <c r="A927" s="9">
        <v>705.0</v>
      </c>
      <c r="B927" s="14" t="s">
        <v>1355</v>
      </c>
      <c r="C927" s="14"/>
      <c r="D927" s="9" t="s">
        <v>774</v>
      </c>
      <c r="E927" s="9" t="s">
        <v>1315</v>
      </c>
      <c r="J927" s="13"/>
      <c r="K927" s="13"/>
    </row>
    <row r="928">
      <c r="A928" s="9">
        <v>706.0</v>
      </c>
      <c r="B928" s="14" t="s">
        <v>681</v>
      </c>
      <c r="C928" s="14"/>
      <c r="D928" s="9" t="s">
        <v>1214</v>
      </c>
      <c r="E928" s="9" t="s">
        <v>1315</v>
      </c>
      <c r="J928" s="13"/>
      <c r="K928" s="13"/>
    </row>
    <row r="929">
      <c r="A929" s="9">
        <v>707.0</v>
      </c>
      <c r="B929" s="14" t="s">
        <v>1356</v>
      </c>
      <c r="C929" s="14"/>
      <c r="D929" s="9" t="s">
        <v>821</v>
      </c>
      <c r="E929" s="9" t="s">
        <v>1315</v>
      </c>
      <c r="J929" s="13"/>
      <c r="K929" s="13"/>
    </row>
    <row r="930">
      <c r="A930" s="9">
        <v>708.0</v>
      </c>
      <c r="B930" s="14" t="s">
        <v>1357</v>
      </c>
      <c r="C930" s="14"/>
      <c r="D930" s="9" t="s">
        <v>520</v>
      </c>
      <c r="E930" s="9" t="s">
        <v>1315</v>
      </c>
      <c r="J930" s="13"/>
      <c r="K930" s="13"/>
    </row>
    <row r="931">
      <c r="A931" s="9">
        <v>709.0</v>
      </c>
      <c r="B931" s="14" t="s">
        <v>1358</v>
      </c>
      <c r="C931" s="14"/>
      <c r="D931" s="9" t="s">
        <v>1359</v>
      </c>
      <c r="E931" s="9" t="s">
        <v>1315</v>
      </c>
      <c r="J931" s="13"/>
      <c r="K931" s="13"/>
    </row>
    <row r="932">
      <c r="A932" s="9">
        <v>710.0</v>
      </c>
      <c r="B932" s="14" t="s">
        <v>1360</v>
      </c>
      <c r="C932" s="14"/>
      <c r="D932" s="9" t="s">
        <v>1361</v>
      </c>
      <c r="E932" s="9" t="s">
        <v>1315</v>
      </c>
      <c r="J932" s="13"/>
      <c r="K932" s="13"/>
    </row>
    <row r="933">
      <c r="A933" s="9">
        <v>711.0</v>
      </c>
      <c r="B933" s="14" t="s">
        <v>1362</v>
      </c>
      <c r="C933" s="14"/>
      <c r="D933" s="9" t="s">
        <v>1042</v>
      </c>
      <c r="E933" s="9" t="s">
        <v>1315</v>
      </c>
      <c r="J933" s="13"/>
      <c r="K933" s="13"/>
    </row>
    <row r="934">
      <c r="A934" s="9">
        <v>712.0</v>
      </c>
      <c r="B934" s="14" t="s">
        <v>1363</v>
      </c>
      <c r="C934" s="14"/>
      <c r="D934" s="9" t="s">
        <v>1096</v>
      </c>
      <c r="E934" s="9" t="s">
        <v>1315</v>
      </c>
      <c r="J934" s="13"/>
      <c r="K934" s="13"/>
    </row>
    <row r="935">
      <c r="A935" s="9">
        <v>713.0</v>
      </c>
      <c r="B935" s="14" t="s">
        <v>1364</v>
      </c>
      <c r="C935" s="14"/>
      <c r="D935" s="9" t="s">
        <v>1365</v>
      </c>
      <c r="E935" s="9" t="s">
        <v>1315</v>
      </c>
      <c r="J935" s="13"/>
      <c r="K935" s="13"/>
    </row>
    <row r="936">
      <c r="A936" s="9">
        <v>714.0</v>
      </c>
      <c r="B936" s="14" t="s">
        <v>1366</v>
      </c>
      <c r="C936" s="14"/>
      <c r="D936" s="9" t="s">
        <v>1367</v>
      </c>
      <c r="E936" s="9" t="s">
        <v>1315</v>
      </c>
      <c r="J936" s="13"/>
      <c r="K936" s="13"/>
    </row>
    <row r="937">
      <c r="A937" s="9">
        <v>715.0</v>
      </c>
      <c r="B937" s="14" t="s">
        <v>1368</v>
      </c>
      <c r="C937" s="14"/>
      <c r="D937" s="9" t="s">
        <v>1116</v>
      </c>
      <c r="E937" s="9" t="s">
        <v>1315</v>
      </c>
      <c r="J937" s="13"/>
      <c r="K937" s="13"/>
    </row>
    <row r="938">
      <c r="A938" s="9">
        <v>716.0</v>
      </c>
      <c r="B938" s="14" t="s">
        <v>1369</v>
      </c>
      <c r="C938" s="14"/>
      <c r="D938" s="9" t="s">
        <v>1156</v>
      </c>
      <c r="E938" s="9" t="s">
        <v>1315</v>
      </c>
      <c r="J938" s="13"/>
      <c r="K938" s="13"/>
    </row>
    <row r="939">
      <c r="A939" s="9">
        <v>717.0</v>
      </c>
      <c r="B939" s="14" t="s">
        <v>1370</v>
      </c>
      <c r="C939" s="14"/>
      <c r="D939" s="9" t="s">
        <v>1371</v>
      </c>
      <c r="E939" s="9" t="s">
        <v>1315</v>
      </c>
      <c r="J939" s="13"/>
      <c r="K939" s="13"/>
    </row>
    <row r="940">
      <c r="A940" s="9">
        <v>718.0</v>
      </c>
      <c r="B940" s="14" t="s">
        <v>1372</v>
      </c>
      <c r="C940" s="14"/>
      <c r="D940" s="9" t="s">
        <v>1373</v>
      </c>
      <c r="E940" s="9" t="s">
        <v>1315</v>
      </c>
      <c r="J940" s="13"/>
      <c r="K940" s="13"/>
    </row>
    <row r="941">
      <c r="A941" s="9">
        <v>719.0</v>
      </c>
      <c r="B941" s="14" t="s">
        <v>1374</v>
      </c>
      <c r="C941" s="14"/>
      <c r="D941" s="9" t="s">
        <v>1375</v>
      </c>
      <c r="E941" s="9" t="s">
        <v>1315</v>
      </c>
      <c r="J941" s="13"/>
      <c r="K941" s="13"/>
    </row>
    <row r="942">
      <c r="A942" s="9">
        <v>720.0</v>
      </c>
      <c r="B942" s="14" t="s">
        <v>1376</v>
      </c>
      <c r="C942" s="14"/>
      <c r="D942" s="9" t="s">
        <v>1185</v>
      </c>
      <c r="E942" s="9" t="s">
        <v>1315</v>
      </c>
      <c r="J942" s="13"/>
      <c r="K942" s="13"/>
    </row>
    <row r="943">
      <c r="A943" s="9">
        <v>721.0</v>
      </c>
      <c r="B943" s="14" t="s">
        <v>1377</v>
      </c>
      <c r="C943" s="14"/>
      <c r="D943" s="9" t="s">
        <v>1022</v>
      </c>
      <c r="E943" s="9" t="s">
        <v>1315</v>
      </c>
      <c r="J943" s="13"/>
      <c r="K943" s="13"/>
    </row>
    <row r="944">
      <c r="A944" s="9">
        <v>722.0</v>
      </c>
      <c r="B944" s="14" t="s">
        <v>1378</v>
      </c>
      <c r="C944" s="14"/>
      <c r="D944" s="9" t="s">
        <v>1379</v>
      </c>
      <c r="E944" s="9" t="s">
        <v>1315</v>
      </c>
      <c r="J944" s="13"/>
      <c r="K944" s="13"/>
    </row>
    <row r="945">
      <c r="A945" s="9">
        <v>723.0</v>
      </c>
      <c r="B945" s="14" t="s">
        <v>1380</v>
      </c>
      <c r="C945" s="14"/>
      <c r="D945" s="9" t="s">
        <v>1381</v>
      </c>
      <c r="E945" s="9" t="s">
        <v>1315</v>
      </c>
      <c r="J945" s="13"/>
      <c r="K945" s="13"/>
    </row>
    <row r="946">
      <c r="A946" s="9">
        <v>724.0</v>
      </c>
      <c r="B946" s="14" t="s">
        <v>1382</v>
      </c>
      <c r="C946" s="14"/>
      <c r="D946" s="9" t="s">
        <v>1222</v>
      </c>
      <c r="E946" s="9" t="s">
        <v>1315</v>
      </c>
      <c r="J946" s="13"/>
      <c r="K946" s="13"/>
    </row>
    <row r="947">
      <c r="A947" s="9">
        <v>725.0</v>
      </c>
      <c r="B947" s="14" t="s">
        <v>1383</v>
      </c>
      <c r="C947" s="14"/>
      <c r="D947" s="9" t="s">
        <v>1222</v>
      </c>
      <c r="E947" s="9" t="s">
        <v>1315</v>
      </c>
      <c r="J947" s="13"/>
      <c r="K947" s="13"/>
    </row>
    <row r="948">
      <c r="A948" s="9">
        <v>726.0</v>
      </c>
      <c r="B948" s="14" t="s">
        <v>1384</v>
      </c>
      <c r="C948" s="14"/>
      <c r="D948" s="9" t="s">
        <v>1052</v>
      </c>
      <c r="E948" s="9" t="s">
        <v>1385</v>
      </c>
      <c r="J948" s="13"/>
      <c r="K948" s="13"/>
    </row>
    <row r="949">
      <c r="A949" s="9">
        <v>727.0</v>
      </c>
      <c r="B949" s="14" t="s">
        <v>1386</v>
      </c>
      <c r="C949" s="14"/>
      <c r="D949" s="9" t="s">
        <v>1387</v>
      </c>
      <c r="E949" s="9" t="s">
        <v>1385</v>
      </c>
      <c r="J949" s="13"/>
      <c r="K949" s="13"/>
    </row>
    <row r="950">
      <c r="A950" s="9">
        <v>728.0</v>
      </c>
      <c r="B950" s="14" t="s">
        <v>1388</v>
      </c>
      <c r="C950" s="14"/>
      <c r="D950" s="9" t="s">
        <v>1389</v>
      </c>
      <c r="E950" s="9" t="s">
        <v>1385</v>
      </c>
      <c r="J950" s="13"/>
      <c r="K950" s="13"/>
    </row>
    <row r="951">
      <c r="A951" s="9">
        <v>729.0</v>
      </c>
      <c r="B951" s="14" t="s">
        <v>1390</v>
      </c>
      <c r="C951" s="14"/>
      <c r="D951" s="9" t="s">
        <v>1391</v>
      </c>
      <c r="E951" s="9" t="s">
        <v>1385</v>
      </c>
      <c r="J951" s="13"/>
      <c r="K951" s="13"/>
    </row>
    <row r="952">
      <c r="A952" s="9">
        <v>730.0</v>
      </c>
      <c r="B952" s="14" t="s">
        <v>1392</v>
      </c>
      <c r="C952" s="14"/>
      <c r="D952" s="9" t="s">
        <v>1248</v>
      </c>
      <c r="E952" s="9" t="s">
        <v>1385</v>
      </c>
      <c r="J952" s="13"/>
      <c r="K952" s="13"/>
    </row>
    <row r="953">
      <c r="A953" s="9">
        <v>731.0</v>
      </c>
      <c r="B953" s="14" t="s">
        <v>1393</v>
      </c>
      <c r="C953" s="14"/>
      <c r="D953" s="9" t="s">
        <v>1394</v>
      </c>
      <c r="E953" s="9" t="s">
        <v>1385</v>
      </c>
      <c r="J953" s="13"/>
      <c r="K953" s="13"/>
    </row>
    <row r="954">
      <c r="A954" s="9">
        <v>732.0</v>
      </c>
      <c r="B954" s="14" t="s">
        <v>1395</v>
      </c>
      <c r="C954" s="14"/>
      <c r="D954" s="9" t="s">
        <v>520</v>
      </c>
      <c r="E954" s="9" t="s">
        <v>1385</v>
      </c>
      <c r="J954" s="13"/>
      <c r="K954" s="13"/>
    </row>
    <row r="955">
      <c r="A955" s="9">
        <v>733.0</v>
      </c>
      <c r="B955" s="14" t="s">
        <v>1396</v>
      </c>
      <c r="C955" s="14"/>
      <c r="D955" s="9" t="s">
        <v>1183</v>
      </c>
      <c r="E955" s="9" t="s">
        <v>1385</v>
      </c>
      <c r="J955" s="13"/>
      <c r="K955" s="13"/>
    </row>
    <row r="956">
      <c r="A956" s="9">
        <v>734.0</v>
      </c>
      <c r="B956" s="14" t="s">
        <v>1397</v>
      </c>
      <c r="C956" s="14"/>
      <c r="D956" s="9" t="s">
        <v>1198</v>
      </c>
      <c r="E956" s="9" t="s">
        <v>1385</v>
      </c>
      <c r="J956" s="13"/>
      <c r="K956" s="13"/>
    </row>
    <row r="957">
      <c r="A957" s="9">
        <v>735.0</v>
      </c>
      <c r="B957" s="14" t="s">
        <v>1398</v>
      </c>
      <c r="C957" s="14"/>
      <c r="D957" s="9" t="s">
        <v>1399</v>
      </c>
      <c r="E957" s="9" t="s">
        <v>1385</v>
      </c>
      <c r="J957" s="13"/>
      <c r="K957" s="13"/>
    </row>
    <row r="958">
      <c r="A958" s="9">
        <v>736.0</v>
      </c>
      <c r="B958" s="14" t="s">
        <v>1400</v>
      </c>
      <c r="C958" s="14"/>
      <c r="D958" s="9" t="s">
        <v>1401</v>
      </c>
      <c r="E958" s="9" t="s">
        <v>1385</v>
      </c>
      <c r="J958" s="13"/>
      <c r="K958" s="13"/>
    </row>
    <row r="959">
      <c r="A959" s="9">
        <v>737.0</v>
      </c>
      <c r="B959" s="14" t="s">
        <v>1402</v>
      </c>
      <c r="C959" s="14"/>
      <c r="D959" s="9" t="s">
        <v>731</v>
      </c>
      <c r="E959" s="9" t="s">
        <v>1385</v>
      </c>
      <c r="J959" s="13"/>
      <c r="K959" s="13"/>
    </row>
    <row r="960">
      <c r="A960" s="9">
        <v>738.0</v>
      </c>
      <c r="B960" s="14" t="s">
        <v>1403</v>
      </c>
      <c r="C960" s="14"/>
      <c r="D960" s="9" t="s">
        <v>1404</v>
      </c>
      <c r="E960" s="9" t="s">
        <v>1385</v>
      </c>
      <c r="J960" s="13"/>
      <c r="K960" s="13"/>
    </row>
    <row r="961">
      <c r="A961" s="9">
        <v>739.0</v>
      </c>
      <c r="B961" s="14" t="s">
        <v>1405</v>
      </c>
      <c r="C961" s="14"/>
      <c r="D961" s="9" t="s">
        <v>745</v>
      </c>
      <c r="E961" s="9" t="s">
        <v>1385</v>
      </c>
      <c r="J961" s="13"/>
      <c r="K961" s="13"/>
    </row>
    <row r="962">
      <c r="A962" s="9">
        <v>740.0</v>
      </c>
      <c r="B962" s="14" t="s">
        <v>1406</v>
      </c>
      <c r="C962" s="14"/>
      <c r="D962" s="9" t="s">
        <v>1407</v>
      </c>
      <c r="E962" s="9" t="s">
        <v>1385</v>
      </c>
      <c r="J962" s="13"/>
      <c r="K962" s="13"/>
    </row>
    <row r="963">
      <c r="A963" s="9">
        <v>741.0</v>
      </c>
      <c r="B963" s="14" t="s">
        <v>1408</v>
      </c>
      <c r="C963" s="14"/>
      <c r="D963" s="9" t="s">
        <v>1409</v>
      </c>
      <c r="E963" s="9" t="s">
        <v>1385</v>
      </c>
      <c r="J963" s="13"/>
      <c r="K963" s="13"/>
    </row>
    <row r="964">
      <c r="A964" s="9">
        <v>742.0</v>
      </c>
      <c r="B964" s="14" t="s">
        <v>1410</v>
      </c>
      <c r="C964" s="14"/>
      <c r="D964" s="9" t="s">
        <v>1411</v>
      </c>
      <c r="E964" s="9" t="s">
        <v>1385</v>
      </c>
      <c r="J964" s="13"/>
      <c r="K964" s="13"/>
    </row>
    <row r="965">
      <c r="A965" s="9">
        <v>743.0</v>
      </c>
      <c r="B965" s="14" t="s">
        <v>1412</v>
      </c>
      <c r="C965" s="14"/>
      <c r="D965" s="9" t="s">
        <v>1413</v>
      </c>
      <c r="E965" s="9" t="s">
        <v>1385</v>
      </c>
      <c r="J965" s="13"/>
      <c r="K965" s="13"/>
    </row>
    <row r="966">
      <c r="A966" s="9">
        <v>744.0</v>
      </c>
      <c r="B966" s="14" t="s">
        <v>1414</v>
      </c>
      <c r="C966" s="14"/>
      <c r="D966" s="9" t="s">
        <v>1305</v>
      </c>
      <c r="E966" s="9" t="s">
        <v>1385</v>
      </c>
      <c r="J966" s="13"/>
      <c r="K966" s="13"/>
    </row>
    <row r="967">
      <c r="A967" s="9">
        <v>745.0</v>
      </c>
      <c r="B967" s="14" t="s">
        <v>1415</v>
      </c>
      <c r="C967" s="14"/>
      <c r="D967" s="9" t="s">
        <v>1416</v>
      </c>
      <c r="E967" s="9" t="s">
        <v>1385</v>
      </c>
      <c r="J967" s="13"/>
      <c r="K967" s="13"/>
    </row>
    <row r="968">
      <c r="A968" s="9">
        <v>746.0</v>
      </c>
      <c r="B968" s="14" t="s">
        <v>1417</v>
      </c>
      <c r="C968" s="14"/>
      <c r="D968" s="9" t="s">
        <v>1418</v>
      </c>
      <c r="E968" s="9" t="s">
        <v>1385</v>
      </c>
      <c r="J968" s="13"/>
      <c r="K968" s="13"/>
    </row>
    <row r="969">
      <c r="A969" s="9">
        <v>747.0</v>
      </c>
      <c r="B969" s="14" t="s">
        <v>1419</v>
      </c>
      <c r="C969" s="14"/>
      <c r="D969" s="9" t="s">
        <v>1074</v>
      </c>
      <c r="E969" s="9" t="s">
        <v>1385</v>
      </c>
      <c r="J969" s="13"/>
      <c r="K969" s="13"/>
    </row>
    <row r="970">
      <c r="A970" s="9">
        <v>748.0</v>
      </c>
      <c r="B970" s="14" t="s">
        <v>1420</v>
      </c>
      <c r="C970" s="14"/>
      <c r="D970" s="9" t="s">
        <v>1421</v>
      </c>
      <c r="E970" s="9" t="s">
        <v>1385</v>
      </c>
      <c r="J970" s="13"/>
      <c r="K970" s="13"/>
    </row>
    <row r="971">
      <c r="A971" s="9">
        <v>749.0</v>
      </c>
      <c r="B971" s="14" t="s">
        <v>1422</v>
      </c>
      <c r="C971" s="14"/>
      <c r="D971" s="9" t="s">
        <v>1070</v>
      </c>
      <c r="E971" s="9" t="s">
        <v>1385</v>
      </c>
      <c r="J971" s="13"/>
      <c r="K971" s="13"/>
    </row>
    <row r="972">
      <c r="A972" s="9">
        <v>750.0</v>
      </c>
      <c r="B972" s="14" t="s">
        <v>1423</v>
      </c>
      <c r="C972" s="14"/>
      <c r="D972" s="9" t="s">
        <v>1154</v>
      </c>
      <c r="E972" s="9" t="s">
        <v>1385</v>
      </c>
      <c r="J972" s="13"/>
      <c r="K972" s="13"/>
    </row>
    <row r="973">
      <c r="A973" s="9">
        <v>751.0</v>
      </c>
      <c r="B973" s="14" t="s">
        <v>1424</v>
      </c>
      <c r="C973" s="14"/>
      <c r="D973" s="9" t="s">
        <v>758</v>
      </c>
      <c r="E973" s="9" t="s">
        <v>1385</v>
      </c>
      <c r="J973" s="13"/>
      <c r="K973" s="13"/>
    </row>
    <row r="974">
      <c r="A974" s="9">
        <v>752.0</v>
      </c>
      <c r="B974" s="14" t="s">
        <v>1425</v>
      </c>
      <c r="C974" s="14"/>
      <c r="D974" s="9" t="s">
        <v>1426</v>
      </c>
      <c r="E974" s="9" t="s">
        <v>1385</v>
      </c>
      <c r="J974" s="13"/>
      <c r="K974" s="13"/>
    </row>
    <row r="975">
      <c r="A975" s="9">
        <v>753.0</v>
      </c>
      <c r="B975" s="14" t="s">
        <v>1427</v>
      </c>
      <c r="C975" s="14"/>
      <c r="D975" s="9" t="s">
        <v>1428</v>
      </c>
      <c r="E975" s="9" t="s">
        <v>1385</v>
      </c>
      <c r="J975" s="13"/>
      <c r="K975" s="13"/>
    </row>
    <row r="976">
      <c r="A976" s="9">
        <v>754.0</v>
      </c>
      <c r="B976" s="14" t="s">
        <v>1429</v>
      </c>
      <c r="C976" s="14"/>
      <c r="D976" s="9" t="s">
        <v>1430</v>
      </c>
      <c r="E976" s="9" t="s">
        <v>1385</v>
      </c>
      <c r="J976" s="13"/>
      <c r="K976" s="13"/>
    </row>
    <row r="977">
      <c r="A977" s="9">
        <v>755.0</v>
      </c>
      <c r="B977" s="14" t="s">
        <v>1431</v>
      </c>
      <c r="C977" s="14"/>
      <c r="D977" s="9" t="s">
        <v>1146</v>
      </c>
      <c r="E977" s="9" t="s">
        <v>1385</v>
      </c>
      <c r="J977" s="13"/>
      <c r="K977" s="13"/>
    </row>
    <row r="978">
      <c r="A978" s="9">
        <v>756.0</v>
      </c>
      <c r="B978" s="14" t="s">
        <v>1432</v>
      </c>
      <c r="C978" s="14"/>
      <c r="D978" s="9" t="s">
        <v>563</v>
      </c>
      <c r="E978" s="9" t="s">
        <v>1385</v>
      </c>
      <c r="J978" s="13"/>
      <c r="K978" s="13"/>
    </row>
    <row r="979">
      <c r="A979" s="9">
        <v>757.0</v>
      </c>
      <c r="B979" s="14" t="s">
        <v>1433</v>
      </c>
      <c r="C979" s="14"/>
      <c r="D979" s="9" t="s">
        <v>1434</v>
      </c>
      <c r="E979" s="9" t="s">
        <v>1385</v>
      </c>
      <c r="J979" s="13"/>
      <c r="K979" s="13"/>
    </row>
    <row r="980">
      <c r="A980" s="9">
        <v>758.0</v>
      </c>
      <c r="B980" s="14" t="s">
        <v>1435</v>
      </c>
      <c r="C980" s="14"/>
      <c r="D980" s="9" t="s">
        <v>1436</v>
      </c>
      <c r="E980" s="9" t="s">
        <v>1385</v>
      </c>
      <c r="J980" s="13"/>
      <c r="K980" s="13"/>
    </row>
    <row r="981">
      <c r="A981" s="9">
        <v>759.0</v>
      </c>
      <c r="B981" s="14" t="s">
        <v>1437</v>
      </c>
      <c r="C981" s="14"/>
      <c r="D981" s="9" t="s">
        <v>1055</v>
      </c>
      <c r="E981" s="9" t="s">
        <v>1385</v>
      </c>
      <c r="J981" s="13"/>
      <c r="K981" s="13"/>
    </row>
    <row r="982">
      <c r="A982" s="9">
        <v>760.0</v>
      </c>
      <c r="B982" s="14" t="s">
        <v>1438</v>
      </c>
      <c r="C982" s="14"/>
      <c r="D982" s="9" t="s">
        <v>1439</v>
      </c>
      <c r="E982" s="9" t="s">
        <v>1385</v>
      </c>
      <c r="J982" s="13"/>
      <c r="K982" s="13"/>
    </row>
    <row r="983">
      <c r="A983" s="9">
        <v>761.0</v>
      </c>
      <c r="B983" s="14" t="s">
        <v>1440</v>
      </c>
      <c r="C983" s="14"/>
      <c r="D983" s="9" t="s">
        <v>1441</v>
      </c>
      <c r="E983" s="9" t="s">
        <v>1385</v>
      </c>
      <c r="J983" s="13"/>
      <c r="K983" s="13"/>
    </row>
    <row r="984">
      <c r="A984" s="9">
        <v>762.0</v>
      </c>
      <c r="B984" s="14" t="s">
        <v>1442</v>
      </c>
      <c r="C984" s="14"/>
      <c r="D984" s="9" t="s">
        <v>1443</v>
      </c>
      <c r="E984" s="9" t="s">
        <v>1385</v>
      </c>
      <c r="J984" s="13"/>
      <c r="K984" s="13"/>
    </row>
    <row r="985">
      <c r="A985" s="9">
        <v>763.0</v>
      </c>
      <c r="B985" s="14" t="s">
        <v>1444</v>
      </c>
      <c r="C985" s="14"/>
      <c r="D985" s="9" t="s">
        <v>813</v>
      </c>
      <c r="E985" s="9" t="s">
        <v>1385</v>
      </c>
      <c r="J985" s="13"/>
      <c r="K985" s="13"/>
    </row>
    <row r="986">
      <c r="A986" s="9">
        <v>764.0</v>
      </c>
      <c r="B986" s="14" t="s">
        <v>1445</v>
      </c>
      <c r="C986" s="14"/>
      <c r="D986" s="9" t="s">
        <v>1112</v>
      </c>
      <c r="E986" s="9" t="s">
        <v>1385</v>
      </c>
      <c r="J986" s="13"/>
      <c r="K986" s="13"/>
    </row>
    <row r="987">
      <c r="A987" s="9">
        <v>765.0</v>
      </c>
      <c r="B987" s="14" t="s">
        <v>1446</v>
      </c>
      <c r="C987" s="14"/>
      <c r="D987" s="9" t="s">
        <v>815</v>
      </c>
      <c r="E987" s="9" t="s">
        <v>1447</v>
      </c>
      <c r="J987" s="13"/>
      <c r="K987" s="13"/>
    </row>
    <row r="988">
      <c r="A988" s="9">
        <v>766.0</v>
      </c>
      <c r="B988" s="14" t="s">
        <v>1448</v>
      </c>
      <c r="C988" s="14"/>
      <c r="D988" s="9" t="s">
        <v>1449</v>
      </c>
      <c r="E988" s="9" t="s">
        <v>1447</v>
      </c>
      <c r="J988" s="13"/>
      <c r="K988" s="13"/>
    </row>
    <row r="989">
      <c r="A989" s="9">
        <v>767.0</v>
      </c>
      <c r="B989" s="14" t="s">
        <v>1450</v>
      </c>
      <c r="C989" s="14"/>
      <c r="D989" s="9" t="s">
        <v>902</v>
      </c>
      <c r="E989" s="9" t="s">
        <v>1447</v>
      </c>
      <c r="J989" s="13"/>
      <c r="K989" s="13"/>
    </row>
    <row r="990">
      <c r="A990" s="9">
        <v>768.0</v>
      </c>
      <c r="B990" s="14" t="s">
        <v>1451</v>
      </c>
      <c r="C990" s="14"/>
      <c r="D990" s="9" t="s">
        <v>844</v>
      </c>
      <c r="E990" s="9" t="s">
        <v>1447</v>
      </c>
      <c r="J990" s="13"/>
      <c r="K990" s="13"/>
    </row>
    <row r="991">
      <c r="A991" s="9">
        <v>769.0</v>
      </c>
      <c r="B991" s="14" t="s">
        <v>1452</v>
      </c>
      <c r="C991" s="14"/>
      <c r="D991" s="9" t="s">
        <v>1269</v>
      </c>
      <c r="E991" s="9" t="s">
        <v>1447</v>
      </c>
      <c r="J991" s="13"/>
      <c r="K991" s="13"/>
    </row>
    <row r="992">
      <c r="A992" s="9">
        <v>770.0</v>
      </c>
      <c r="B992" s="14" t="s">
        <v>1453</v>
      </c>
      <c r="C992" s="14"/>
      <c r="D992" s="9" t="s">
        <v>1275</v>
      </c>
      <c r="E992" s="9" t="s">
        <v>1447</v>
      </c>
      <c r="J992" s="13"/>
      <c r="K992" s="13"/>
    </row>
    <row r="993">
      <c r="A993" s="9">
        <v>771.0</v>
      </c>
      <c r="B993" s="14" t="s">
        <v>1454</v>
      </c>
      <c r="C993" s="14"/>
      <c r="D993" s="9" t="s">
        <v>1455</v>
      </c>
      <c r="E993" s="9" t="s">
        <v>1447</v>
      </c>
      <c r="J993" s="13"/>
      <c r="K993" s="13"/>
    </row>
    <row r="994">
      <c r="A994" s="9">
        <v>772.0</v>
      </c>
      <c r="B994" s="14" t="s">
        <v>1456</v>
      </c>
      <c r="C994" s="14"/>
      <c r="D994" s="9" t="s">
        <v>1457</v>
      </c>
      <c r="E994" s="9" t="s">
        <v>1447</v>
      </c>
      <c r="J994" s="13"/>
      <c r="K994" s="13"/>
    </row>
    <row r="995">
      <c r="A995" s="9">
        <v>773.0</v>
      </c>
      <c r="B995" s="14" t="s">
        <v>1458</v>
      </c>
      <c r="C995" s="14"/>
      <c r="D995" s="9" t="s">
        <v>781</v>
      </c>
      <c r="E995" s="9" t="s">
        <v>1447</v>
      </c>
      <c r="J995" s="13"/>
      <c r="K995" s="13"/>
    </row>
    <row r="996">
      <c r="A996" s="9">
        <v>774.0</v>
      </c>
      <c r="B996" s="14" t="s">
        <v>1459</v>
      </c>
      <c r="C996" s="14"/>
      <c r="D996" s="9" t="s">
        <v>1460</v>
      </c>
      <c r="E996" s="9" t="s">
        <v>1447</v>
      </c>
      <c r="J996" s="13"/>
      <c r="K996" s="13"/>
    </row>
    <row r="997">
      <c r="A997" s="9">
        <v>775.0</v>
      </c>
      <c r="B997" s="14" t="s">
        <v>1461</v>
      </c>
      <c r="C997" s="14"/>
      <c r="D997" s="9" t="s">
        <v>1154</v>
      </c>
      <c r="E997" s="9" t="s">
        <v>1447</v>
      </c>
      <c r="J997" s="13"/>
      <c r="K997" s="13"/>
    </row>
    <row r="998">
      <c r="A998" s="9">
        <v>776.0</v>
      </c>
      <c r="B998" s="14" t="s">
        <v>1462</v>
      </c>
      <c r="C998" s="14"/>
      <c r="D998" s="9" t="s">
        <v>1463</v>
      </c>
      <c r="E998" s="9" t="s">
        <v>1447</v>
      </c>
      <c r="J998" s="13"/>
      <c r="K998" s="13"/>
    </row>
    <row r="999">
      <c r="A999" s="9">
        <v>777.0</v>
      </c>
      <c r="B999" s="14" t="s">
        <v>1464</v>
      </c>
      <c r="C999" s="14"/>
      <c r="D999" s="9" t="s">
        <v>1465</v>
      </c>
      <c r="E999" s="9" t="s">
        <v>1447</v>
      </c>
      <c r="J999" s="13"/>
      <c r="K999" s="13"/>
    </row>
    <row r="1000">
      <c r="A1000" s="9">
        <v>778.0</v>
      </c>
      <c r="B1000" s="14" t="s">
        <v>1466</v>
      </c>
      <c r="C1000" s="14"/>
      <c r="D1000" s="9" t="s">
        <v>1467</v>
      </c>
      <c r="E1000" s="9" t="s">
        <v>1447</v>
      </c>
      <c r="J1000" s="13"/>
      <c r="K1000" s="13"/>
    </row>
    <row r="1001">
      <c r="A1001" s="9">
        <v>779.0</v>
      </c>
      <c r="B1001" s="14" t="s">
        <v>1468</v>
      </c>
      <c r="C1001" s="14"/>
      <c r="D1001" s="9" t="s">
        <v>1469</v>
      </c>
      <c r="E1001" s="9" t="s">
        <v>1447</v>
      </c>
      <c r="J1001" s="13"/>
      <c r="K1001" s="13"/>
    </row>
    <row r="1002">
      <c r="A1002" s="9">
        <v>780.0</v>
      </c>
      <c r="B1002" s="14" t="s">
        <v>1470</v>
      </c>
      <c r="C1002" s="14"/>
      <c r="D1002" s="9" t="s">
        <v>1471</v>
      </c>
      <c r="E1002" s="9" t="s">
        <v>1447</v>
      </c>
      <c r="J1002" s="13"/>
      <c r="K1002" s="13"/>
    </row>
    <row r="1003">
      <c r="A1003" s="9">
        <v>781.0</v>
      </c>
      <c r="B1003" s="14" t="s">
        <v>1472</v>
      </c>
      <c r="C1003" s="14"/>
      <c r="D1003" s="9" t="s">
        <v>1080</v>
      </c>
      <c r="E1003" s="9" t="s">
        <v>1447</v>
      </c>
      <c r="J1003" s="13"/>
      <c r="K1003" s="13"/>
    </row>
    <row r="1004">
      <c r="A1004" s="9">
        <v>782.0</v>
      </c>
      <c r="B1004" s="14" t="s">
        <v>1473</v>
      </c>
      <c r="C1004" s="14"/>
      <c r="D1004" s="9" t="s">
        <v>1474</v>
      </c>
      <c r="E1004" s="9" t="s">
        <v>1447</v>
      </c>
      <c r="J1004" s="13"/>
      <c r="K1004" s="13"/>
    </row>
    <row r="1005">
      <c r="A1005" s="9">
        <v>783.0</v>
      </c>
      <c r="B1005" s="14" t="s">
        <v>1475</v>
      </c>
      <c r="C1005" s="14"/>
      <c r="D1005" s="9" t="s">
        <v>1476</v>
      </c>
      <c r="E1005" s="9" t="s">
        <v>1447</v>
      </c>
      <c r="J1005" s="13"/>
      <c r="K1005" s="13"/>
    </row>
    <row r="1006">
      <c r="A1006" s="9">
        <v>784.0</v>
      </c>
      <c r="B1006" s="14" t="s">
        <v>1477</v>
      </c>
      <c r="C1006" s="14"/>
      <c r="D1006" s="9" t="s">
        <v>1478</v>
      </c>
      <c r="E1006" s="9" t="s">
        <v>1447</v>
      </c>
      <c r="J1006" s="13"/>
      <c r="K1006" s="13"/>
    </row>
    <row r="1007">
      <c r="A1007" s="9">
        <v>785.0</v>
      </c>
      <c r="B1007" s="14" t="s">
        <v>1479</v>
      </c>
      <c r="C1007" s="14"/>
      <c r="D1007" s="9" t="s">
        <v>1086</v>
      </c>
      <c r="E1007" s="9" t="s">
        <v>1447</v>
      </c>
      <c r="J1007" s="13"/>
      <c r="K1007" s="13"/>
    </row>
    <row r="1008">
      <c r="A1008" s="9">
        <v>786.0</v>
      </c>
      <c r="B1008" s="14" t="s">
        <v>1480</v>
      </c>
      <c r="C1008" s="14"/>
      <c r="D1008" s="9" t="s">
        <v>1481</v>
      </c>
      <c r="E1008" s="9" t="s">
        <v>1447</v>
      </c>
      <c r="J1008" s="13"/>
      <c r="K1008" s="13"/>
    </row>
    <row r="1009">
      <c r="A1009" s="9">
        <v>787.0</v>
      </c>
      <c r="B1009" s="14" t="s">
        <v>1482</v>
      </c>
      <c r="C1009" s="14"/>
      <c r="D1009" s="9" t="s">
        <v>836</v>
      </c>
      <c r="E1009" s="9" t="s">
        <v>1447</v>
      </c>
      <c r="J1009" s="13"/>
      <c r="K1009" s="13"/>
    </row>
    <row r="1010">
      <c r="A1010" s="9">
        <v>788.0</v>
      </c>
      <c r="B1010" s="14" t="s">
        <v>1483</v>
      </c>
      <c r="C1010" s="14"/>
      <c r="D1010" s="9" t="s">
        <v>1484</v>
      </c>
      <c r="E1010" s="9" t="s">
        <v>1447</v>
      </c>
      <c r="J1010" s="13"/>
      <c r="K1010" s="13"/>
    </row>
    <row r="1011">
      <c r="A1011" s="9">
        <v>789.0</v>
      </c>
      <c r="B1011" s="14" t="s">
        <v>1485</v>
      </c>
      <c r="C1011" s="14"/>
      <c r="D1011" s="9" t="s">
        <v>1096</v>
      </c>
      <c r="E1011" s="9" t="s">
        <v>1447</v>
      </c>
      <c r="J1011" s="13"/>
      <c r="K1011" s="13"/>
    </row>
    <row r="1012">
      <c r="A1012" s="9">
        <v>790.0</v>
      </c>
      <c r="B1012" s="14" t="s">
        <v>1486</v>
      </c>
      <c r="C1012" s="14"/>
      <c r="D1012" s="9" t="s">
        <v>1487</v>
      </c>
      <c r="E1012" s="9" t="s">
        <v>1447</v>
      </c>
      <c r="J1012" s="13"/>
      <c r="K1012" s="13"/>
    </row>
    <row r="1013">
      <c r="A1013" s="9">
        <v>791.0</v>
      </c>
      <c r="B1013" s="14" t="s">
        <v>1488</v>
      </c>
      <c r="C1013" s="14"/>
      <c r="D1013" s="9" t="s">
        <v>627</v>
      </c>
      <c r="E1013" s="9" t="s">
        <v>1447</v>
      </c>
      <c r="J1013" s="13"/>
      <c r="K1013" s="13"/>
    </row>
    <row r="1014">
      <c r="A1014" s="9">
        <v>792.0</v>
      </c>
      <c r="B1014" s="14" t="s">
        <v>1489</v>
      </c>
      <c r="C1014" s="14"/>
      <c r="D1014" s="9" t="s">
        <v>1490</v>
      </c>
      <c r="E1014" s="9" t="s">
        <v>1447</v>
      </c>
      <c r="J1014" s="13"/>
      <c r="K1014" s="13"/>
    </row>
    <row r="1015">
      <c r="A1015" s="9">
        <v>793.0</v>
      </c>
      <c r="B1015" s="14" t="s">
        <v>1491</v>
      </c>
      <c r="C1015" s="14"/>
      <c r="D1015" s="9" t="s">
        <v>1492</v>
      </c>
      <c r="E1015" s="9" t="s">
        <v>1447</v>
      </c>
      <c r="J1015" s="13"/>
      <c r="K1015" s="13"/>
    </row>
    <row r="1016">
      <c r="A1016" s="9">
        <v>794.0</v>
      </c>
      <c r="B1016" s="14" t="s">
        <v>1493</v>
      </c>
      <c r="C1016" s="14"/>
      <c r="D1016" s="9" t="s">
        <v>1494</v>
      </c>
      <c r="E1016" s="9" t="s">
        <v>1447</v>
      </c>
      <c r="J1016" s="13"/>
      <c r="K1016" s="13"/>
    </row>
    <row r="1017">
      <c r="A1017" s="9">
        <v>795.0</v>
      </c>
      <c r="B1017" s="14" t="s">
        <v>1495</v>
      </c>
      <c r="C1017" s="14"/>
      <c r="D1017" s="9" t="s">
        <v>1496</v>
      </c>
      <c r="E1017" s="9" t="s">
        <v>1447</v>
      </c>
      <c r="J1017" s="13"/>
      <c r="K1017" s="13"/>
    </row>
    <row r="1018">
      <c r="A1018" s="9">
        <v>796.0</v>
      </c>
      <c r="B1018" s="14" t="s">
        <v>1497</v>
      </c>
      <c r="C1018" s="14"/>
      <c r="D1018" s="9" t="s">
        <v>1498</v>
      </c>
      <c r="E1018" s="9" t="s">
        <v>1447</v>
      </c>
      <c r="J1018" s="13"/>
      <c r="K1018" s="13"/>
    </row>
    <row r="1019">
      <c r="A1019" s="9">
        <v>797.0</v>
      </c>
      <c r="B1019" s="14" t="s">
        <v>1499</v>
      </c>
      <c r="C1019" s="14"/>
      <c r="D1019" s="9" t="s">
        <v>1500</v>
      </c>
      <c r="E1019" s="9" t="s">
        <v>1447</v>
      </c>
      <c r="J1019" s="13"/>
      <c r="K1019" s="13"/>
    </row>
    <row r="1020">
      <c r="A1020" s="9">
        <v>798.0</v>
      </c>
      <c r="B1020" s="14" t="s">
        <v>1501</v>
      </c>
      <c r="C1020" s="14"/>
      <c r="D1020" s="9" t="s">
        <v>1181</v>
      </c>
      <c r="E1020" s="9" t="s">
        <v>1447</v>
      </c>
      <c r="J1020" s="13"/>
      <c r="K1020" s="13"/>
    </row>
    <row r="1021">
      <c r="A1021" s="9">
        <v>799.0</v>
      </c>
      <c r="B1021" s="14" t="s">
        <v>1502</v>
      </c>
      <c r="C1021" s="14"/>
      <c r="D1021" s="9" t="s">
        <v>1503</v>
      </c>
      <c r="E1021" s="9" t="s">
        <v>1447</v>
      </c>
      <c r="J1021" s="13"/>
      <c r="K1021" s="13"/>
    </row>
    <row r="1022">
      <c r="A1022" s="9">
        <v>800.0</v>
      </c>
      <c r="B1022" s="14" t="s">
        <v>1504</v>
      </c>
      <c r="C1022" s="14"/>
      <c r="D1022" s="9" t="s">
        <v>1505</v>
      </c>
      <c r="E1022" s="9" t="s">
        <v>1447</v>
      </c>
      <c r="J1022" s="13"/>
      <c r="K1022" s="13"/>
    </row>
    <row r="1023">
      <c r="A1023" s="9">
        <v>801.0</v>
      </c>
      <c r="B1023" s="14" t="s">
        <v>1506</v>
      </c>
      <c r="C1023" s="14"/>
      <c r="D1023" s="9" t="s">
        <v>1507</v>
      </c>
      <c r="E1023" s="9" t="s">
        <v>1447</v>
      </c>
      <c r="J1023" s="13"/>
      <c r="K1023" s="13"/>
    </row>
    <row r="1024">
      <c r="A1024" s="9">
        <v>802.0</v>
      </c>
      <c r="B1024" s="14" t="s">
        <v>1508</v>
      </c>
      <c r="C1024" s="14"/>
      <c r="D1024" s="9" t="s">
        <v>1509</v>
      </c>
      <c r="E1024" s="9" t="s">
        <v>1447</v>
      </c>
      <c r="J1024" s="13"/>
      <c r="K1024" s="13"/>
    </row>
    <row r="1025">
      <c r="A1025" s="9">
        <v>803.0</v>
      </c>
      <c r="B1025" s="14" t="s">
        <v>1510</v>
      </c>
      <c r="C1025" s="14"/>
      <c r="D1025" s="9" t="s">
        <v>1511</v>
      </c>
      <c r="E1025" s="9" t="s">
        <v>1447</v>
      </c>
      <c r="J1025" s="13"/>
      <c r="K1025" s="13"/>
    </row>
    <row r="1026">
      <c r="A1026" s="9">
        <v>804.0</v>
      </c>
      <c r="B1026" s="14" t="s">
        <v>1512</v>
      </c>
      <c r="C1026" s="14"/>
      <c r="D1026" s="9" t="s">
        <v>1217</v>
      </c>
      <c r="E1026" s="9" t="s">
        <v>1447</v>
      </c>
      <c r="J1026" s="13"/>
      <c r="K1026" s="13"/>
    </row>
    <row r="1027">
      <c r="A1027" s="9">
        <v>805.0</v>
      </c>
      <c r="B1027" s="14" t="s">
        <v>1513</v>
      </c>
      <c r="C1027" s="14"/>
      <c r="D1027" s="9" t="s">
        <v>1514</v>
      </c>
      <c r="E1027" s="9" t="s">
        <v>1515</v>
      </c>
      <c r="J1027" s="13"/>
      <c r="K1027" s="13"/>
    </row>
    <row r="1028">
      <c r="A1028" s="9">
        <v>806.0</v>
      </c>
      <c r="B1028" s="14" t="s">
        <v>1516</v>
      </c>
      <c r="C1028" s="14"/>
      <c r="D1028" s="9" t="s">
        <v>1517</v>
      </c>
      <c r="E1028" s="9" t="s">
        <v>1515</v>
      </c>
      <c r="J1028" s="13"/>
      <c r="K1028" s="13"/>
    </row>
    <row r="1029">
      <c r="A1029" s="9">
        <v>807.0</v>
      </c>
      <c r="B1029" s="14" t="s">
        <v>1518</v>
      </c>
      <c r="C1029" s="14"/>
      <c r="D1029" s="9" t="s">
        <v>1519</v>
      </c>
      <c r="E1029" s="9" t="s">
        <v>1515</v>
      </c>
      <c r="J1029" s="13"/>
      <c r="K1029" s="13"/>
    </row>
    <row r="1030">
      <c r="A1030" s="9">
        <v>808.0</v>
      </c>
      <c r="B1030" s="14" t="s">
        <v>1520</v>
      </c>
      <c r="C1030" s="14"/>
      <c r="D1030" s="9" t="s">
        <v>1521</v>
      </c>
      <c r="E1030" s="9" t="s">
        <v>1515</v>
      </c>
      <c r="J1030" s="13"/>
      <c r="K1030" s="13"/>
    </row>
    <row r="1031">
      <c r="A1031" s="9">
        <v>809.0</v>
      </c>
      <c r="B1031" s="14" t="s">
        <v>1522</v>
      </c>
      <c r="C1031" s="14"/>
      <c r="D1031" s="9" t="s">
        <v>1523</v>
      </c>
      <c r="E1031" s="9" t="s">
        <v>1515</v>
      </c>
      <c r="J1031" s="13"/>
      <c r="K1031" s="13"/>
    </row>
    <row r="1032">
      <c r="A1032" s="9">
        <v>810.0</v>
      </c>
      <c r="B1032" s="14" t="s">
        <v>1524</v>
      </c>
      <c r="C1032" s="14"/>
      <c r="D1032" s="9" t="s">
        <v>1349</v>
      </c>
      <c r="E1032" s="9" t="s">
        <v>1515</v>
      </c>
      <c r="J1032" s="13"/>
      <c r="K1032" s="13"/>
    </row>
    <row r="1033">
      <c r="A1033" s="9">
        <v>811.0</v>
      </c>
      <c r="B1033" s="14" t="s">
        <v>1525</v>
      </c>
      <c r="C1033" s="14"/>
      <c r="D1033" s="9" t="s">
        <v>604</v>
      </c>
      <c r="E1033" s="9" t="s">
        <v>1515</v>
      </c>
      <c r="J1033" s="13"/>
      <c r="K1033" s="13"/>
    </row>
    <row r="1034">
      <c r="A1034" s="9">
        <v>812.0</v>
      </c>
      <c r="B1034" s="14" t="s">
        <v>1526</v>
      </c>
      <c r="C1034" s="14"/>
      <c r="D1034" s="9" t="s">
        <v>1527</v>
      </c>
      <c r="E1034" s="9" t="s">
        <v>1515</v>
      </c>
      <c r="J1034" s="13"/>
      <c r="K1034" s="13"/>
    </row>
    <row r="1035">
      <c r="A1035" s="9">
        <v>813.0</v>
      </c>
      <c r="B1035" s="14" t="s">
        <v>1528</v>
      </c>
      <c r="C1035" s="14"/>
      <c r="D1035" s="9" t="s">
        <v>989</v>
      </c>
      <c r="E1035" s="9" t="s">
        <v>1515</v>
      </c>
      <c r="J1035" s="13"/>
      <c r="K1035" s="13"/>
    </row>
    <row r="1036">
      <c r="A1036" s="9">
        <v>814.0</v>
      </c>
      <c r="B1036" s="14" t="s">
        <v>1529</v>
      </c>
      <c r="C1036" s="14"/>
      <c r="D1036" s="9" t="s">
        <v>706</v>
      </c>
      <c r="E1036" s="9" t="s">
        <v>1515</v>
      </c>
      <c r="J1036" s="13"/>
      <c r="K1036" s="13"/>
    </row>
    <row r="1037">
      <c r="A1037" s="9">
        <v>815.0</v>
      </c>
      <c r="B1037" s="14" t="s">
        <v>1530</v>
      </c>
      <c r="C1037" s="14"/>
      <c r="D1037" s="10" t="s">
        <v>1531</v>
      </c>
      <c r="E1037" s="9" t="s">
        <v>1515</v>
      </c>
      <c r="J1037" s="13"/>
      <c r="K1037" s="13"/>
    </row>
    <row r="1038">
      <c r="A1038" s="9"/>
      <c r="B1038" s="14"/>
      <c r="C1038" s="14"/>
      <c r="D1038" s="10" t="s">
        <v>1532</v>
      </c>
      <c r="E1038" s="9"/>
      <c r="J1038" s="13"/>
      <c r="K1038" s="13"/>
    </row>
    <row r="1039">
      <c r="A1039" s="9">
        <v>816.0</v>
      </c>
      <c r="B1039" s="14" t="s">
        <v>1533</v>
      </c>
      <c r="C1039" s="14"/>
      <c r="D1039" s="9" t="s">
        <v>1474</v>
      </c>
      <c r="E1039" s="9" t="s">
        <v>1515</v>
      </c>
      <c r="J1039" s="13"/>
      <c r="K1039" s="13"/>
    </row>
    <row r="1040">
      <c r="A1040" s="9">
        <v>817.0</v>
      </c>
      <c r="B1040" s="14" t="s">
        <v>1534</v>
      </c>
      <c r="C1040" s="14"/>
      <c r="D1040" s="9" t="s">
        <v>1535</v>
      </c>
      <c r="E1040" s="9" t="s">
        <v>1515</v>
      </c>
      <c r="J1040" s="13"/>
      <c r="K1040" s="13"/>
    </row>
    <row r="1041">
      <c r="A1041" s="9">
        <v>818.0</v>
      </c>
      <c r="B1041" s="14" t="s">
        <v>1536</v>
      </c>
      <c r="C1041" s="14"/>
      <c r="D1041" s="9" t="s">
        <v>1537</v>
      </c>
      <c r="E1041" s="9" t="s">
        <v>1515</v>
      </c>
      <c r="J1041" s="13"/>
      <c r="K1041" s="13"/>
    </row>
    <row r="1042">
      <c r="A1042" s="9">
        <v>819.0</v>
      </c>
      <c r="B1042" s="14" t="s">
        <v>1538</v>
      </c>
      <c r="C1042" s="14"/>
      <c r="D1042" s="9" t="s">
        <v>1539</v>
      </c>
      <c r="E1042" s="9" t="s">
        <v>1515</v>
      </c>
      <c r="J1042" s="13"/>
      <c r="K1042" s="13"/>
    </row>
    <row r="1043">
      <c r="A1043" s="9">
        <v>820.0</v>
      </c>
      <c r="B1043" s="14" t="s">
        <v>1540</v>
      </c>
      <c r="C1043" s="14"/>
      <c r="D1043" s="9" t="s">
        <v>1541</v>
      </c>
      <c r="E1043" s="9" t="s">
        <v>1515</v>
      </c>
      <c r="J1043" s="13"/>
      <c r="K1043" s="13"/>
    </row>
    <row r="1044">
      <c r="A1044" s="9">
        <v>821.0</v>
      </c>
      <c r="B1044" s="14" t="s">
        <v>1542</v>
      </c>
      <c r="C1044" s="14"/>
      <c r="D1044" s="9" t="s">
        <v>1543</v>
      </c>
      <c r="E1044" s="9" t="s">
        <v>1515</v>
      </c>
      <c r="J1044" s="13"/>
      <c r="K1044" s="13"/>
    </row>
    <row r="1045">
      <c r="A1045" s="9">
        <v>822.0</v>
      </c>
      <c r="B1045" s="14" t="s">
        <v>1544</v>
      </c>
      <c r="C1045" s="14"/>
      <c r="D1045" s="9" t="s">
        <v>1545</v>
      </c>
      <c r="E1045" s="9" t="s">
        <v>1515</v>
      </c>
      <c r="J1045" s="13"/>
      <c r="K1045" s="13"/>
    </row>
    <row r="1046">
      <c r="A1046" s="9">
        <v>823.0</v>
      </c>
      <c r="B1046" s="14" t="s">
        <v>1546</v>
      </c>
      <c r="C1046" s="14"/>
      <c r="D1046" s="9" t="s">
        <v>1185</v>
      </c>
      <c r="E1046" s="9" t="s">
        <v>1515</v>
      </c>
      <c r="J1046" s="13"/>
      <c r="K1046" s="13"/>
    </row>
    <row r="1047">
      <c r="A1047" s="9">
        <v>824.0</v>
      </c>
      <c r="B1047" s="14" t="s">
        <v>1547</v>
      </c>
      <c r="C1047" s="14"/>
      <c r="D1047" s="9" t="s">
        <v>967</v>
      </c>
      <c r="E1047" s="9" t="s">
        <v>1515</v>
      </c>
      <c r="J1047" s="13"/>
      <c r="K1047" s="13"/>
    </row>
    <row r="1048">
      <c r="A1048" s="9">
        <v>825.0</v>
      </c>
      <c r="B1048" s="14" t="s">
        <v>1548</v>
      </c>
      <c r="C1048" s="14"/>
      <c r="D1048" s="9" t="s">
        <v>1549</v>
      </c>
      <c r="E1048" s="9" t="s">
        <v>1515</v>
      </c>
      <c r="J1048" s="13"/>
      <c r="K1048" s="13"/>
    </row>
    <row r="1049">
      <c r="A1049" s="9">
        <v>826.0</v>
      </c>
      <c r="B1049" s="14" t="s">
        <v>1550</v>
      </c>
      <c r="C1049" s="14"/>
      <c r="D1049" s="9" t="s">
        <v>1551</v>
      </c>
      <c r="E1049" s="9" t="s">
        <v>1515</v>
      </c>
      <c r="J1049" s="13"/>
      <c r="K1049" s="13"/>
    </row>
    <row r="1050">
      <c r="A1050" s="9">
        <v>827.0</v>
      </c>
      <c r="B1050" s="14" t="s">
        <v>1552</v>
      </c>
      <c r="C1050" s="14"/>
      <c r="D1050" s="9" t="s">
        <v>1287</v>
      </c>
      <c r="E1050" s="9" t="s">
        <v>1515</v>
      </c>
      <c r="J1050" s="13"/>
      <c r="K1050" s="13"/>
    </row>
    <row r="1051">
      <c r="A1051" s="9">
        <v>828.0</v>
      </c>
      <c r="B1051" s="14" t="s">
        <v>1553</v>
      </c>
      <c r="C1051" s="14"/>
      <c r="D1051" s="9" t="s">
        <v>1554</v>
      </c>
      <c r="E1051" s="9" t="s">
        <v>1515</v>
      </c>
      <c r="J1051" s="13"/>
      <c r="K1051" s="13"/>
    </row>
    <row r="1052">
      <c r="A1052" s="9">
        <v>829.0</v>
      </c>
      <c r="B1052" s="14" t="s">
        <v>1555</v>
      </c>
      <c r="C1052" s="14"/>
      <c r="D1052" s="9" t="s">
        <v>1265</v>
      </c>
      <c r="E1052" s="9" t="s">
        <v>1515</v>
      </c>
      <c r="J1052" s="13"/>
      <c r="K1052" s="13"/>
    </row>
    <row r="1053">
      <c r="A1053" s="9">
        <v>830.0</v>
      </c>
      <c r="B1053" s="14" t="s">
        <v>1556</v>
      </c>
      <c r="C1053" s="14"/>
      <c r="D1053" s="9" t="s">
        <v>1469</v>
      </c>
      <c r="E1053" s="9" t="s">
        <v>1515</v>
      </c>
      <c r="J1053" s="13"/>
      <c r="K1053" s="13"/>
    </row>
    <row r="1054">
      <c r="A1054" s="9">
        <v>831.0</v>
      </c>
      <c r="B1054" s="14" t="s">
        <v>1557</v>
      </c>
      <c r="C1054" s="14"/>
      <c r="D1054" s="9" t="s">
        <v>685</v>
      </c>
      <c r="E1054" s="9" t="s">
        <v>1515</v>
      </c>
      <c r="J1054" s="13"/>
      <c r="K1054" s="13"/>
    </row>
    <row r="1055">
      <c r="A1055" s="9">
        <v>832.0</v>
      </c>
      <c r="B1055" s="14" t="s">
        <v>1558</v>
      </c>
      <c r="C1055" s="14"/>
      <c r="D1055" s="10" t="s">
        <v>1559</v>
      </c>
      <c r="E1055" s="9" t="s">
        <v>1515</v>
      </c>
      <c r="J1055" s="13"/>
      <c r="K1055" s="13"/>
    </row>
    <row r="1056">
      <c r="A1056" s="9"/>
      <c r="B1056" s="14"/>
      <c r="C1056" s="14"/>
      <c r="D1056" s="10" t="s">
        <v>1560</v>
      </c>
      <c r="E1056" s="9"/>
      <c r="J1056" s="13"/>
      <c r="K1056" s="13"/>
    </row>
    <row r="1057">
      <c r="A1057" s="9">
        <v>833.0</v>
      </c>
      <c r="B1057" s="14" t="s">
        <v>1561</v>
      </c>
      <c r="C1057" s="14"/>
      <c r="D1057" s="9" t="s">
        <v>1055</v>
      </c>
      <c r="E1057" s="9" t="s">
        <v>1515</v>
      </c>
      <c r="J1057" s="13"/>
      <c r="K1057" s="13"/>
    </row>
    <row r="1058">
      <c r="A1058" s="9">
        <v>834.0</v>
      </c>
      <c r="B1058" s="14" t="s">
        <v>1562</v>
      </c>
      <c r="C1058" s="14"/>
      <c r="D1058" s="9" t="s">
        <v>604</v>
      </c>
      <c r="E1058" s="9" t="s">
        <v>1515</v>
      </c>
      <c r="J1058" s="13"/>
      <c r="K1058" s="13"/>
    </row>
    <row r="1059">
      <c r="A1059" s="9">
        <v>835.0</v>
      </c>
      <c r="B1059" s="14" t="s">
        <v>1563</v>
      </c>
      <c r="C1059" s="14"/>
      <c r="D1059" s="9" t="s">
        <v>1564</v>
      </c>
      <c r="E1059" s="9" t="s">
        <v>1515</v>
      </c>
      <c r="J1059" s="13"/>
      <c r="K1059" s="13"/>
    </row>
    <row r="1060">
      <c r="A1060" s="9">
        <v>836.0</v>
      </c>
      <c r="B1060" s="14" t="s">
        <v>1565</v>
      </c>
      <c r="C1060" s="14"/>
      <c r="D1060" s="9" t="s">
        <v>1338</v>
      </c>
      <c r="E1060" s="9" t="s">
        <v>1515</v>
      </c>
      <c r="J1060" s="13"/>
      <c r="K1060" s="13"/>
    </row>
    <row r="1061">
      <c r="A1061" s="9">
        <v>837.0</v>
      </c>
      <c r="B1061" s="14" t="s">
        <v>1566</v>
      </c>
      <c r="C1061" s="14"/>
      <c r="D1061" s="9" t="s">
        <v>1052</v>
      </c>
      <c r="E1061" s="9" t="s">
        <v>1515</v>
      </c>
      <c r="J1061" s="13"/>
      <c r="K1061" s="13"/>
    </row>
    <row r="1062">
      <c r="A1062" s="9">
        <v>838.0</v>
      </c>
      <c r="B1062" s="14" t="s">
        <v>1567</v>
      </c>
      <c r="C1062" s="14"/>
      <c r="D1062" s="9" t="s">
        <v>1568</v>
      </c>
      <c r="E1062" s="9" t="s">
        <v>1515</v>
      </c>
      <c r="J1062" s="13"/>
      <c r="K1062" s="13"/>
    </row>
    <row r="1063">
      <c r="A1063" s="9">
        <v>839.0</v>
      </c>
      <c r="B1063" s="14" t="s">
        <v>1569</v>
      </c>
      <c r="C1063" s="14"/>
      <c r="D1063" s="9" t="s">
        <v>1570</v>
      </c>
      <c r="E1063" s="9" t="s">
        <v>1515</v>
      </c>
      <c r="J1063" s="13"/>
      <c r="K1063" s="13"/>
    </row>
    <row r="1064">
      <c r="A1064" s="9">
        <v>840.0</v>
      </c>
      <c r="B1064" s="14" t="s">
        <v>1571</v>
      </c>
      <c r="C1064" s="14"/>
      <c r="D1064" s="9" t="s">
        <v>1572</v>
      </c>
      <c r="E1064" s="9" t="s">
        <v>1515</v>
      </c>
      <c r="J1064" s="13"/>
      <c r="K1064" s="13"/>
    </row>
    <row r="1065">
      <c r="A1065" s="9">
        <v>841.0</v>
      </c>
      <c r="B1065" s="14" t="s">
        <v>1573</v>
      </c>
      <c r="C1065" s="14"/>
      <c r="D1065" s="9" t="s">
        <v>1253</v>
      </c>
      <c r="E1065" s="9" t="s">
        <v>1515</v>
      </c>
      <c r="J1065" s="13"/>
      <c r="K1065" s="13"/>
    </row>
    <row r="1066">
      <c r="A1066" s="9">
        <v>842.0</v>
      </c>
      <c r="B1066" s="14" t="s">
        <v>1574</v>
      </c>
      <c r="C1066" s="14"/>
      <c r="D1066" s="9" t="s">
        <v>876</v>
      </c>
      <c r="E1066" s="9" t="s">
        <v>1515</v>
      </c>
      <c r="J1066" s="13"/>
      <c r="K1066" s="13"/>
    </row>
    <row r="1067">
      <c r="A1067" s="9">
        <v>843.0</v>
      </c>
      <c r="B1067" s="14" t="s">
        <v>1575</v>
      </c>
      <c r="C1067" s="14"/>
      <c r="D1067" s="9" t="s">
        <v>1185</v>
      </c>
      <c r="E1067" s="9" t="s">
        <v>1515</v>
      </c>
      <c r="J1067" s="13"/>
      <c r="K1067" s="13"/>
    </row>
    <row r="1068">
      <c r="A1068" s="9">
        <v>844.0</v>
      </c>
      <c r="B1068" s="14" t="s">
        <v>570</v>
      </c>
      <c r="C1068" s="14"/>
      <c r="D1068" s="9" t="s">
        <v>1490</v>
      </c>
      <c r="E1068" s="9" t="s">
        <v>1576</v>
      </c>
      <c r="J1068" s="13"/>
      <c r="K1068" s="13"/>
    </row>
    <row r="1069">
      <c r="A1069" s="9">
        <v>845.0</v>
      </c>
      <c r="B1069" s="14" t="s">
        <v>1577</v>
      </c>
      <c r="C1069" s="14"/>
      <c r="D1069" s="9" t="s">
        <v>1578</v>
      </c>
      <c r="E1069" s="9" t="s">
        <v>1576</v>
      </c>
      <c r="J1069" s="13"/>
      <c r="K1069" s="13"/>
    </row>
    <row r="1070">
      <c r="A1070" s="9">
        <v>846.0</v>
      </c>
      <c r="B1070" s="14" t="s">
        <v>1579</v>
      </c>
      <c r="C1070" s="14"/>
      <c r="D1070" s="9" t="s">
        <v>1580</v>
      </c>
      <c r="E1070" s="9" t="s">
        <v>1576</v>
      </c>
      <c r="J1070" s="13"/>
      <c r="K1070" s="13"/>
    </row>
    <row r="1071">
      <c r="A1071" s="9">
        <v>847.0</v>
      </c>
      <c r="B1071" s="14" t="s">
        <v>1581</v>
      </c>
      <c r="C1071" s="14"/>
      <c r="D1071" s="9" t="s">
        <v>1582</v>
      </c>
      <c r="E1071" s="9" t="s">
        <v>1576</v>
      </c>
      <c r="J1071" s="13"/>
      <c r="K1071" s="13"/>
    </row>
    <row r="1072">
      <c r="A1072" s="9">
        <v>848.0</v>
      </c>
      <c r="B1072" s="14" t="s">
        <v>1583</v>
      </c>
      <c r="C1072" s="14"/>
      <c r="D1072" s="9" t="s">
        <v>1169</v>
      </c>
      <c r="E1072" s="9" t="s">
        <v>1576</v>
      </c>
      <c r="J1072" s="13"/>
      <c r="K1072" s="13"/>
    </row>
    <row r="1073">
      <c r="A1073" s="9">
        <v>849.0</v>
      </c>
      <c r="B1073" s="14" t="s">
        <v>1584</v>
      </c>
      <c r="C1073" s="14"/>
      <c r="D1073" s="9" t="s">
        <v>1214</v>
      </c>
      <c r="E1073" s="9" t="s">
        <v>1576</v>
      </c>
      <c r="J1073" s="13"/>
      <c r="K1073" s="13"/>
    </row>
    <row r="1074">
      <c r="A1074" s="9">
        <v>850.0</v>
      </c>
      <c r="B1074" s="14" t="s">
        <v>1585</v>
      </c>
      <c r="C1074" s="14"/>
      <c r="D1074" s="9" t="s">
        <v>1586</v>
      </c>
      <c r="E1074" s="9" t="s">
        <v>1576</v>
      </c>
      <c r="J1074" s="13"/>
      <c r="K1074" s="13"/>
    </row>
    <row r="1075">
      <c r="A1075" s="9">
        <v>851.0</v>
      </c>
      <c r="B1075" s="14" t="s">
        <v>1587</v>
      </c>
      <c r="C1075" s="14"/>
      <c r="D1075" s="9" t="s">
        <v>1439</v>
      </c>
      <c r="E1075" s="9" t="s">
        <v>1576</v>
      </c>
      <c r="J1075" s="13"/>
      <c r="K1075" s="13"/>
    </row>
    <row r="1076">
      <c r="A1076" s="9">
        <v>852.0</v>
      </c>
      <c r="B1076" s="14" t="s">
        <v>1588</v>
      </c>
      <c r="C1076" s="14"/>
      <c r="D1076" s="9" t="s">
        <v>1589</v>
      </c>
      <c r="E1076" s="9" t="s">
        <v>1576</v>
      </c>
      <c r="J1076" s="13"/>
      <c r="K1076" s="13"/>
    </row>
    <row r="1077">
      <c r="A1077" s="9">
        <v>853.0</v>
      </c>
      <c r="B1077" s="14" t="s">
        <v>1590</v>
      </c>
      <c r="C1077" s="14"/>
      <c r="D1077" s="9" t="s">
        <v>1591</v>
      </c>
      <c r="E1077" s="9" t="s">
        <v>1576</v>
      </c>
      <c r="J1077" s="13"/>
      <c r="K1077" s="13"/>
    </row>
    <row r="1078">
      <c r="A1078" s="9">
        <v>854.0</v>
      </c>
      <c r="B1078" s="14" t="s">
        <v>1592</v>
      </c>
      <c r="C1078" s="14"/>
      <c r="D1078" s="9" t="s">
        <v>1527</v>
      </c>
      <c r="E1078" s="9" t="s">
        <v>1576</v>
      </c>
      <c r="J1078" s="13"/>
      <c r="K1078" s="13"/>
    </row>
    <row r="1079">
      <c r="A1079" s="9">
        <v>855.0</v>
      </c>
      <c r="B1079" s="14" t="s">
        <v>1593</v>
      </c>
      <c r="C1079" s="14"/>
      <c r="D1079" s="9" t="s">
        <v>1594</v>
      </c>
      <c r="E1079" s="9" t="s">
        <v>1576</v>
      </c>
      <c r="J1079" s="13"/>
      <c r="K1079" s="13"/>
    </row>
    <row r="1080">
      <c r="A1080" s="9">
        <v>856.0</v>
      </c>
      <c r="B1080" s="14" t="s">
        <v>1595</v>
      </c>
      <c r="C1080" s="14"/>
      <c r="D1080" s="9" t="s">
        <v>1596</v>
      </c>
      <c r="E1080" s="9" t="s">
        <v>1576</v>
      </c>
      <c r="J1080" s="13"/>
      <c r="K1080" s="13"/>
    </row>
    <row r="1081">
      <c r="A1081" s="9">
        <v>857.0</v>
      </c>
      <c r="B1081" s="14" t="s">
        <v>1597</v>
      </c>
      <c r="C1081" s="14"/>
      <c r="D1081" s="9" t="s">
        <v>1598</v>
      </c>
      <c r="E1081" s="9" t="s">
        <v>1576</v>
      </c>
      <c r="J1081" s="13"/>
      <c r="K1081" s="13"/>
    </row>
    <row r="1082">
      <c r="A1082" s="9">
        <v>858.0</v>
      </c>
      <c r="B1082" s="14" t="s">
        <v>1599</v>
      </c>
      <c r="C1082" s="14"/>
      <c r="D1082" s="9" t="s">
        <v>1600</v>
      </c>
      <c r="E1082" s="9" t="s">
        <v>1576</v>
      </c>
      <c r="J1082" s="13"/>
      <c r="K1082" s="13"/>
    </row>
    <row r="1083">
      <c r="A1083" s="9">
        <v>859.0</v>
      </c>
      <c r="B1083" s="14" t="s">
        <v>1601</v>
      </c>
      <c r="C1083" s="14"/>
      <c r="D1083" s="9" t="s">
        <v>1312</v>
      </c>
      <c r="E1083" s="9" t="s">
        <v>1576</v>
      </c>
      <c r="J1083" s="13"/>
      <c r="K1083" s="13"/>
    </row>
    <row r="1084">
      <c r="A1084" s="9">
        <v>860.0</v>
      </c>
      <c r="B1084" s="14" t="s">
        <v>1602</v>
      </c>
      <c r="C1084" s="14"/>
      <c r="D1084" s="9" t="s">
        <v>520</v>
      </c>
      <c r="E1084" s="9" t="s">
        <v>1576</v>
      </c>
      <c r="J1084" s="13"/>
      <c r="K1084" s="13"/>
    </row>
    <row r="1085">
      <c r="A1085" s="9">
        <v>861.0</v>
      </c>
      <c r="B1085" s="14" t="s">
        <v>1603</v>
      </c>
      <c r="C1085" s="14"/>
      <c r="D1085" s="9" t="s">
        <v>781</v>
      </c>
      <c r="E1085" s="9" t="s">
        <v>1576</v>
      </c>
      <c r="J1085" s="13"/>
      <c r="K1085" s="13"/>
    </row>
    <row r="1086">
      <c r="A1086" s="9">
        <v>862.0</v>
      </c>
      <c r="B1086" s="14" t="s">
        <v>1604</v>
      </c>
      <c r="C1086" s="14"/>
      <c r="D1086" s="9" t="s">
        <v>1605</v>
      </c>
      <c r="E1086" s="9" t="s">
        <v>1576</v>
      </c>
      <c r="J1086" s="13"/>
      <c r="K1086" s="13"/>
    </row>
    <row r="1087">
      <c r="A1087" s="9">
        <v>863.0</v>
      </c>
      <c r="B1087" s="14" t="s">
        <v>1606</v>
      </c>
      <c r="C1087" s="14"/>
      <c r="D1087" s="9" t="s">
        <v>1607</v>
      </c>
      <c r="E1087" s="9" t="s">
        <v>1576</v>
      </c>
      <c r="J1087" s="13"/>
      <c r="K1087" s="13"/>
    </row>
    <row r="1088">
      <c r="A1088" s="9">
        <v>864.0</v>
      </c>
      <c r="B1088" s="14" t="s">
        <v>1608</v>
      </c>
      <c r="C1088" s="14"/>
      <c r="D1088" s="9" t="s">
        <v>1609</v>
      </c>
      <c r="E1088" s="9" t="s">
        <v>1576</v>
      </c>
      <c r="J1088" s="13"/>
      <c r="K1088" s="13"/>
    </row>
    <row r="1089">
      <c r="A1089" s="9">
        <v>865.0</v>
      </c>
      <c r="B1089" s="14" t="s">
        <v>1610</v>
      </c>
      <c r="C1089" s="14"/>
      <c r="D1089" s="9" t="s">
        <v>1611</v>
      </c>
      <c r="E1089" s="9" t="s">
        <v>1576</v>
      </c>
      <c r="J1089" s="13"/>
      <c r="K1089" s="13"/>
    </row>
    <row r="1090">
      <c r="A1090" s="9">
        <v>866.0</v>
      </c>
      <c r="B1090" s="14" t="s">
        <v>1612</v>
      </c>
      <c r="C1090" s="14"/>
      <c r="D1090" s="9" t="s">
        <v>1120</v>
      </c>
      <c r="E1090" s="9" t="s">
        <v>1576</v>
      </c>
      <c r="J1090" s="13"/>
      <c r="K1090" s="13"/>
    </row>
    <row r="1091">
      <c r="A1091" s="9">
        <v>867.0</v>
      </c>
      <c r="B1091" s="14" t="s">
        <v>1613</v>
      </c>
      <c r="C1091" s="14"/>
      <c r="D1091" s="9" t="s">
        <v>1614</v>
      </c>
      <c r="E1091" s="9" t="s">
        <v>1576</v>
      </c>
      <c r="J1091" s="13"/>
      <c r="K1091" s="13"/>
    </row>
    <row r="1092">
      <c r="A1092" s="9">
        <v>868.0</v>
      </c>
      <c r="B1092" s="14" t="s">
        <v>1615</v>
      </c>
      <c r="C1092" s="14"/>
      <c r="D1092" s="9" t="s">
        <v>1616</v>
      </c>
      <c r="E1092" s="9" t="s">
        <v>1576</v>
      </c>
      <c r="J1092" s="13"/>
      <c r="K1092" s="13"/>
    </row>
    <row r="1093">
      <c r="A1093" s="9">
        <v>869.0</v>
      </c>
      <c r="B1093" s="14" t="s">
        <v>1617</v>
      </c>
      <c r="C1093" s="14"/>
      <c r="D1093" s="9" t="s">
        <v>821</v>
      </c>
      <c r="E1093" s="9" t="s">
        <v>1576</v>
      </c>
      <c r="J1093" s="13"/>
      <c r="K1093" s="13"/>
    </row>
    <row r="1094">
      <c r="A1094" s="9">
        <v>870.0</v>
      </c>
      <c r="B1094" s="14" t="s">
        <v>1618</v>
      </c>
      <c r="C1094" s="14"/>
      <c r="D1094" s="9" t="s">
        <v>1269</v>
      </c>
      <c r="E1094" s="9" t="s">
        <v>1576</v>
      </c>
      <c r="J1094" s="13"/>
      <c r="K1094" s="13"/>
    </row>
    <row r="1095">
      <c r="A1095" s="9">
        <v>871.0</v>
      </c>
      <c r="B1095" s="14" t="s">
        <v>1619</v>
      </c>
      <c r="C1095" s="14"/>
      <c r="D1095" s="9" t="s">
        <v>366</v>
      </c>
      <c r="E1095" s="9" t="s">
        <v>1576</v>
      </c>
      <c r="J1095" s="13"/>
      <c r="K1095" s="13"/>
    </row>
    <row r="1096">
      <c r="A1096" s="9">
        <v>872.0</v>
      </c>
      <c r="B1096" s="14" t="s">
        <v>1620</v>
      </c>
      <c r="C1096" s="14"/>
      <c r="D1096" s="9" t="s">
        <v>1621</v>
      </c>
      <c r="E1096" s="9" t="s">
        <v>1576</v>
      </c>
      <c r="J1096" s="13"/>
      <c r="K1096" s="13"/>
    </row>
    <row r="1097">
      <c r="A1097" s="9">
        <v>873.0</v>
      </c>
      <c r="B1097" s="14" t="s">
        <v>1622</v>
      </c>
      <c r="C1097" s="14"/>
      <c r="D1097" s="9" t="s">
        <v>1354</v>
      </c>
      <c r="E1097" s="9" t="s">
        <v>1576</v>
      </c>
      <c r="J1097" s="13"/>
      <c r="K1097" s="13"/>
    </row>
    <row r="1098">
      <c r="A1098" s="9">
        <v>874.0</v>
      </c>
      <c r="B1098" s="14" t="s">
        <v>1623</v>
      </c>
      <c r="C1098" s="14"/>
      <c r="D1098" s="9" t="s">
        <v>943</v>
      </c>
      <c r="E1098" s="9" t="s">
        <v>1576</v>
      </c>
      <c r="J1098" s="13"/>
      <c r="K1098" s="13"/>
    </row>
    <row r="1099">
      <c r="A1099" s="9">
        <v>875.0</v>
      </c>
      <c r="B1099" s="14" t="s">
        <v>1624</v>
      </c>
      <c r="C1099" s="14"/>
      <c r="D1099" s="10" t="s">
        <v>1625</v>
      </c>
      <c r="E1099" s="9" t="s">
        <v>1576</v>
      </c>
      <c r="J1099" s="13"/>
      <c r="K1099" s="13"/>
    </row>
    <row r="1100">
      <c r="A1100" s="9">
        <v>876.0</v>
      </c>
      <c r="B1100" s="14" t="s">
        <v>1626</v>
      </c>
      <c r="C1100" s="14"/>
      <c r="D1100" s="9" t="s">
        <v>1627</v>
      </c>
      <c r="E1100" s="9" t="s">
        <v>1576</v>
      </c>
      <c r="J1100" s="13"/>
      <c r="K1100" s="13"/>
    </row>
    <row r="1101">
      <c r="A1101" s="9">
        <v>877.0</v>
      </c>
      <c r="B1101" s="14" t="s">
        <v>1628</v>
      </c>
      <c r="C1101" s="14"/>
      <c r="D1101" s="9" t="s">
        <v>811</v>
      </c>
      <c r="E1101" s="9" t="s">
        <v>1576</v>
      </c>
      <c r="J1101" s="13"/>
      <c r="K1101" s="13"/>
    </row>
    <row r="1102">
      <c r="A1102" s="9">
        <v>878.0</v>
      </c>
      <c r="B1102" s="14" t="s">
        <v>1629</v>
      </c>
      <c r="C1102" s="14"/>
      <c r="D1102" s="9" t="s">
        <v>1630</v>
      </c>
      <c r="E1102" s="9" t="s">
        <v>1576</v>
      </c>
      <c r="J1102" s="13"/>
      <c r="K1102" s="13"/>
    </row>
    <row r="1103">
      <c r="A1103" s="9">
        <v>879.0</v>
      </c>
      <c r="B1103" s="14" t="s">
        <v>1631</v>
      </c>
      <c r="C1103" s="14"/>
      <c r="D1103" s="9" t="s">
        <v>1426</v>
      </c>
      <c r="E1103" s="9" t="s">
        <v>1576</v>
      </c>
      <c r="J1103" s="13"/>
      <c r="K1103" s="13"/>
    </row>
    <row r="1104">
      <c r="A1104" s="9">
        <v>880.0</v>
      </c>
      <c r="B1104" s="14" t="s">
        <v>1632</v>
      </c>
      <c r="C1104" s="14"/>
      <c r="D1104" s="9" t="s">
        <v>1633</v>
      </c>
      <c r="E1104" s="9" t="s">
        <v>1576</v>
      </c>
      <c r="J1104" s="13"/>
      <c r="K1104" s="13"/>
    </row>
    <row r="1105">
      <c r="A1105" s="9">
        <v>881.0</v>
      </c>
      <c r="B1105" s="14" t="s">
        <v>1634</v>
      </c>
      <c r="C1105" s="14"/>
      <c r="D1105" s="9" t="s">
        <v>1635</v>
      </c>
      <c r="E1105" s="9" t="s">
        <v>1576</v>
      </c>
      <c r="J1105" s="13"/>
      <c r="K1105" s="13"/>
    </row>
    <row r="1106">
      <c r="A1106" s="9">
        <v>882.0</v>
      </c>
      <c r="B1106" s="14" t="s">
        <v>1636</v>
      </c>
      <c r="C1106" s="14"/>
      <c r="D1106" s="9" t="s">
        <v>1172</v>
      </c>
      <c r="E1106" s="9" t="s">
        <v>1576</v>
      </c>
      <c r="J1106" s="13"/>
      <c r="K1106" s="13"/>
    </row>
    <row r="1107">
      <c r="A1107" s="9">
        <v>883.0</v>
      </c>
      <c r="B1107" s="14" t="s">
        <v>1637</v>
      </c>
      <c r="C1107" s="14"/>
      <c r="D1107" s="9" t="s">
        <v>1638</v>
      </c>
      <c r="E1107" s="9" t="s">
        <v>1576</v>
      </c>
      <c r="J1107" s="13"/>
      <c r="K1107" s="13"/>
    </row>
    <row r="1108">
      <c r="A1108" s="9">
        <v>884.0</v>
      </c>
      <c r="B1108" s="14" t="s">
        <v>1639</v>
      </c>
      <c r="C1108" s="14"/>
      <c r="D1108" s="9" t="s">
        <v>1327</v>
      </c>
      <c r="E1108" s="9" t="s">
        <v>1576</v>
      </c>
      <c r="J1108" s="13"/>
      <c r="K1108" s="13"/>
    </row>
    <row r="1109">
      <c r="A1109" s="9">
        <v>885.0</v>
      </c>
      <c r="B1109" s="14" t="s">
        <v>1640</v>
      </c>
      <c r="C1109" s="14"/>
      <c r="D1109" s="9" t="s">
        <v>1317</v>
      </c>
      <c r="E1109" s="9" t="s">
        <v>1576</v>
      </c>
      <c r="J1109" s="13"/>
      <c r="K1109" s="13"/>
    </row>
    <row r="1110">
      <c r="A1110" s="9">
        <v>886.0</v>
      </c>
      <c r="B1110" s="14" t="s">
        <v>1641</v>
      </c>
      <c r="C1110" s="14"/>
      <c r="D1110" s="9" t="s">
        <v>1642</v>
      </c>
      <c r="E1110" s="9" t="s">
        <v>1576</v>
      </c>
      <c r="J1110" s="13"/>
      <c r="K1110" s="13"/>
    </row>
    <row r="1111">
      <c r="A1111" s="9">
        <v>887.0</v>
      </c>
      <c r="B1111" s="14" t="s">
        <v>1643</v>
      </c>
      <c r="C1111" s="14"/>
      <c r="D1111" s="9" t="s">
        <v>1644</v>
      </c>
      <c r="E1111" s="9" t="s">
        <v>1576</v>
      </c>
      <c r="J1111" s="13"/>
      <c r="K1111" s="13"/>
    </row>
    <row r="1112">
      <c r="A1112" s="9">
        <v>888.0</v>
      </c>
      <c r="B1112" s="14" t="s">
        <v>1645</v>
      </c>
      <c r="C1112" s="14"/>
      <c r="D1112" s="9" t="s">
        <v>1305</v>
      </c>
      <c r="E1112" s="9" t="s">
        <v>1576</v>
      </c>
      <c r="J1112" s="13"/>
      <c r="K1112" s="13"/>
    </row>
    <row r="1113">
      <c r="A1113" s="9">
        <v>889.0</v>
      </c>
      <c r="B1113" s="14" t="s">
        <v>1646</v>
      </c>
      <c r="C1113" s="14"/>
      <c r="D1113" s="9" t="s">
        <v>772</v>
      </c>
      <c r="E1113" s="9" t="s">
        <v>1576</v>
      </c>
      <c r="J1113" s="13"/>
      <c r="K1113" s="13"/>
    </row>
    <row r="1114">
      <c r="A1114" s="9">
        <v>890.0</v>
      </c>
      <c r="B1114" s="14" t="s">
        <v>1647</v>
      </c>
      <c r="C1114" s="14"/>
      <c r="D1114" s="9" t="s">
        <v>1648</v>
      </c>
      <c r="E1114" s="9" t="s">
        <v>1649</v>
      </c>
      <c r="J1114" s="13"/>
      <c r="K1114" s="13"/>
    </row>
    <row r="1115">
      <c r="A1115" s="9">
        <v>891.0</v>
      </c>
      <c r="B1115" s="14" t="s">
        <v>1650</v>
      </c>
      <c r="C1115" s="14"/>
      <c r="D1115" s="9" t="s">
        <v>1430</v>
      </c>
      <c r="E1115" s="9" t="s">
        <v>1649</v>
      </c>
      <c r="J1115" s="13"/>
      <c r="K1115" s="13"/>
    </row>
    <row r="1116">
      <c r="A1116" s="9">
        <v>892.0</v>
      </c>
      <c r="B1116" s="14" t="s">
        <v>1651</v>
      </c>
      <c r="C1116" s="14"/>
      <c r="D1116" s="9" t="s">
        <v>1298</v>
      </c>
      <c r="E1116" s="9" t="s">
        <v>1649</v>
      </c>
      <c r="J1116" s="13"/>
      <c r="K1116" s="13"/>
    </row>
    <row r="1117">
      <c r="A1117" s="9">
        <v>893.0</v>
      </c>
      <c r="B1117" s="14" t="s">
        <v>1652</v>
      </c>
      <c r="C1117" s="14"/>
      <c r="D1117" s="9" t="s">
        <v>1653</v>
      </c>
      <c r="E1117" s="9" t="s">
        <v>1649</v>
      </c>
      <c r="J1117" s="13"/>
      <c r="K1117" s="13"/>
    </row>
    <row r="1118">
      <c r="A1118" s="9">
        <v>894.0</v>
      </c>
      <c r="B1118" s="14" t="s">
        <v>1654</v>
      </c>
      <c r="C1118" s="14"/>
      <c r="D1118" s="9" t="s">
        <v>1349</v>
      </c>
      <c r="E1118" s="9" t="s">
        <v>1649</v>
      </c>
      <c r="J1118" s="13"/>
      <c r="K1118" s="13"/>
    </row>
    <row r="1119">
      <c r="A1119" s="9">
        <v>895.0</v>
      </c>
      <c r="B1119" s="14" t="s">
        <v>1655</v>
      </c>
      <c r="C1119" s="14"/>
      <c r="D1119" s="9" t="s">
        <v>1656</v>
      </c>
      <c r="E1119" s="9" t="s">
        <v>1649</v>
      </c>
      <c r="J1119" s="13"/>
      <c r="K1119" s="13"/>
    </row>
    <row r="1120">
      <c r="A1120" s="9">
        <v>896.0</v>
      </c>
      <c r="B1120" s="14" t="s">
        <v>1657</v>
      </c>
      <c r="C1120" s="14"/>
      <c r="D1120" s="9" t="s">
        <v>894</v>
      </c>
      <c r="E1120" s="9" t="s">
        <v>1649</v>
      </c>
      <c r="J1120" s="13"/>
      <c r="K1120" s="13"/>
    </row>
    <row r="1121">
      <c r="A1121" s="9">
        <v>897.0</v>
      </c>
      <c r="B1121" s="14" t="s">
        <v>1658</v>
      </c>
      <c r="C1121" s="14"/>
      <c r="D1121" s="9" t="s">
        <v>1659</v>
      </c>
      <c r="E1121" s="9" t="s">
        <v>1649</v>
      </c>
      <c r="J1121" s="13"/>
      <c r="K1121" s="13"/>
    </row>
    <row r="1122">
      <c r="A1122" s="9">
        <v>898.0</v>
      </c>
      <c r="B1122" s="14" t="s">
        <v>1660</v>
      </c>
      <c r="C1122" s="14"/>
      <c r="D1122" s="9" t="s">
        <v>1074</v>
      </c>
      <c r="E1122" s="9" t="s">
        <v>1649</v>
      </c>
      <c r="J1122" s="13"/>
      <c r="K1122" s="13"/>
    </row>
    <row r="1123">
      <c r="A1123" s="9">
        <v>899.0</v>
      </c>
      <c r="B1123" s="14" t="s">
        <v>1661</v>
      </c>
      <c r="C1123" s="14"/>
      <c r="D1123" s="9" t="s">
        <v>1662</v>
      </c>
      <c r="E1123" s="9" t="s">
        <v>1649</v>
      </c>
      <c r="J1123" s="13"/>
      <c r="K1123" s="13"/>
    </row>
    <row r="1124">
      <c r="A1124" s="9">
        <v>900.0</v>
      </c>
      <c r="B1124" s="14" t="s">
        <v>1663</v>
      </c>
      <c r="C1124" s="14"/>
      <c r="D1124" s="9" t="s">
        <v>1371</v>
      </c>
      <c r="E1124" s="9" t="s">
        <v>1649</v>
      </c>
      <c r="J1124" s="13"/>
      <c r="K1124" s="13"/>
    </row>
    <row r="1125">
      <c r="A1125" s="9">
        <v>901.0</v>
      </c>
      <c r="B1125" s="14" t="s">
        <v>1664</v>
      </c>
      <c r="C1125" s="14"/>
      <c r="D1125" s="9" t="s">
        <v>1665</v>
      </c>
      <c r="E1125" s="9" t="s">
        <v>1649</v>
      </c>
      <c r="J1125" s="13"/>
      <c r="K1125" s="13"/>
    </row>
    <row r="1126">
      <c r="A1126" s="9">
        <v>902.0</v>
      </c>
      <c r="B1126" s="14" t="s">
        <v>1666</v>
      </c>
      <c r="C1126" s="14"/>
      <c r="D1126" s="10" t="s">
        <v>1667</v>
      </c>
      <c r="E1126" s="9" t="s">
        <v>1649</v>
      </c>
      <c r="J1126" s="13"/>
      <c r="K1126" s="13"/>
    </row>
    <row r="1127">
      <c r="A1127" s="9"/>
      <c r="B1127" s="14"/>
      <c r="C1127" s="14"/>
      <c r="D1127" s="10" t="s">
        <v>1668</v>
      </c>
      <c r="E1127" s="9"/>
      <c r="J1127" s="13"/>
      <c r="K1127" s="13"/>
    </row>
    <row r="1128">
      <c r="A1128" s="9"/>
      <c r="B1128" s="14"/>
      <c r="C1128" s="14"/>
      <c r="D1128" s="10" t="s">
        <v>1669</v>
      </c>
      <c r="E1128" s="9"/>
      <c r="J1128" s="13"/>
      <c r="K1128" s="13"/>
    </row>
    <row r="1129">
      <c r="A1129" s="9">
        <v>903.0</v>
      </c>
      <c r="B1129" s="14" t="s">
        <v>1670</v>
      </c>
      <c r="C1129" s="14"/>
      <c r="D1129" s="9" t="s">
        <v>931</v>
      </c>
      <c r="E1129" s="9" t="s">
        <v>1649</v>
      </c>
      <c r="J1129" s="13"/>
      <c r="K1129" s="13"/>
    </row>
    <row r="1130">
      <c r="A1130" s="9">
        <v>904.0</v>
      </c>
      <c r="B1130" s="14" t="s">
        <v>1671</v>
      </c>
      <c r="C1130" s="14"/>
      <c r="D1130" s="9" t="s">
        <v>1463</v>
      </c>
      <c r="E1130" s="9" t="s">
        <v>1649</v>
      </c>
      <c r="J1130" s="13"/>
      <c r="K1130" s="13"/>
    </row>
    <row r="1131">
      <c r="A1131" s="9">
        <v>905.0</v>
      </c>
      <c r="B1131" s="14" t="s">
        <v>1672</v>
      </c>
      <c r="C1131" s="14"/>
      <c r="D1131" s="9" t="s">
        <v>882</v>
      </c>
      <c r="E1131" s="9" t="s">
        <v>1649</v>
      </c>
      <c r="J1131" s="13"/>
      <c r="K1131" s="13"/>
    </row>
    <row r="1132">
      <c r="A1132" s="9">
        <v>906.0</v>
      </c>
      <c r="B1132" s="14" t="s">
        <v>1673</v>
      </c>
      <c r="C1132" s="14"/>
      <c r="D1132" s="9" t="s">
        <v>1135</v>
      </c>
      <c r="E1132" s="9" t="s">
        <v>1649</v>
      </c>
      <c r="J1132" s="13"/>
      <c r="K1132" s="13"/>
    </row>
    <row r="1133">
      <c r="A1133" s="9">
        <v>907.0</v>
      </c>
      <c r="B1133" s="14" t="s">
        <v>1674</v>
      </c>
      <c r="C1133" s="14"/>
      <c r="D1133" s="9" t="s">
        <v>1675</v>
      </c>
      <c r="E1133" s="9" t="s">
        <v>1649</v>
      </c>
      <c r="J1133" s="13"/>
      <c r="K1133" s="13"/>
    </row>
    <row r="1134">
      <c r="A1134" s="9">
        <v>908.0</v>
      </c>
      <c r="B1134" s="14" t="s">
        <v>1676</v>
      </c>
      <c r="C1134" s="14"/>
      <c r="D1134" s="9" t="s">
        <v>1258</v>
      </c>
      <c r="E1134" s="9" t="s">
        <v>1649</v>
      </c>
      <c r="J1134" s="13"/>
      <c r="K1134" s="13"/>
    </row>
    <row r="1135">
      <c r="A1135" s="9">
        <v>909.0</v>
      </c>
      <c r="B1135" s="14" t="s">
        <v>1677</v>
      </c>
      <c r="C1135" s="14"/>
      <c r="D1135" s="9" t="s">
        <v>1228</v>
      </c>
      <c r="E1135" s="9" t="s">
        <v>1649</v>
      </c>
      <c r="J1135" s="13"/>
      <c r="K1135" s="13"/>
    </row>
    <row r="1136">
      <c r="A1136" s="9">
        <v>910.0</v>
      </c>
      <c r="B1136" s="14" t="s">
        <v>1678</v>
      </c>
      <c r="C1136" s="14"/>
      <c r="D1136" s="9" t="s">
        <v>1679</v>
      </c>
      <c r="E1136" s="9" t="s">
        <v>1649</v>
      </c>
      <c r="J1136" s="13"/>
      <c r="K1136" s="13"/>
    </row>
    <row r="1137">
      <c r="A1137" s="9">
        <v>911.0</v>
      </c>
      <c r="B1137" s="14" t="s">
        <v>1680</v>
      </c>
      <c r="C1137" s="14"/>
      <c r="D1137" s="9" t="s">
        <v>1681</v>
      </c>
      <c r="E1137" s="9" t="s">
        <v>1649</v>
      </c>
      <c r="J1137" s="13"/>
      <c r="K1137" s="13"/>
    </row>
    <row r="1138">
      <c r="A1138" s="9">
        <v>912.0</v>
      </c>
      <c r="B1138" s="14" t="s">
        <v>1682</v>
      </c>
      <c r="C1138" s="14"/>
      <c r="D1138" s="9" t="s">
        <v>1379</v>
      </c>
      <c r="E1138" s="9" t="s">
        <v>1649</v>
      </c>
      <c r="J1138" s="13"/>
      <c r="K1138" s="13"/>
    </row>
    <row r="1139">
      <c r="A1139" s="9">
        <v>913.0</v>
      </c>
      <c r="B1139" s="14" t="s">
        <v>1683</v>
      </c>
      <c r="C1139" s="14"/>
      <c r="D1139" s="9" t="s">
        <v>1684</v>
      </c>
      <c r="E1139" s="9" t="s">
        <v>1685</v>
      </c>
      <c r="J1139" s="13"/>
      <c r="K1139" s="13"/>
    </row>
    <row r="1140">
      <c r="A1140" s="9">
        <v>914.0</v>
      </c>
      <c r="B1140" s="14" t="s">
        <v>1686</v>
      </c>
      <c r="C1140" s="14"/>
      <c r="D1140" s="9" t="s">
        <v>1687</v>
      </c>
      <c r="E1140" s="9" t="s">
        <v>1685</v>
      </c>
      <c r="J1140" s="13"/>
      <c r="K1140" s="13"/>
    </row>
    <row r="1141">
      <c r="A1141" s="9">
        <v>915.0</v>
      </c>
      <c r="B1141" s="14" t="s">
        <v>1688</v>
      </c>
      <c r="C1141" s="14"/>
      <c r="D1141" s="9" t="s">
        <v>1689</v>
      </c>
      <c r="E1141" s="9" t="s">
        <v>1685</v>
      </c>
      <c r="J1141" s="13"/>
      <c r="K1141" s="13"/>
    </row>
    <row r="1142">
      <c r="A1142" s="9">
        <v>916.0</v>
      </c>
      <c r="B1142" s="14" t="s">
        <v>1690</v>
      </c>
      <c r="C1142" s="14"/>
      <c r="D1142" s="9" t="s">
        <v>1181</v>
      </c>
      <c r="E1142" s="9" t="s">
        <v>1685</v>
      </c>
      <c r="J1142" s="13"/>
      <c r="K1142" s="13"/>
    </row>
    <row r="1143">
      <c r="A1143" s="9">
        <v>917.0</v>
      </c>
      <c r="B1143" s="14" t="s">
        <v>1691</v>
      </c>
      <c r="C1143" s="14"/>
      <c r="D1143" s="9" t="s">
        <v>1692</v>
      </c>
      <c r="E1143" s="9" t="s">
        <v>1685</v>
      </c>
      <c r="J1143" s="13"/>
      <c r="K1143" s="13"/>
    </row>
    <row r="1144">
      <c r="A1144" s="9">
        <v>918.0</v>
      </c>
      <c r="B1144" s="14" t="s">
        <v>1693</v>
      </c>
      <c r="C1144" s="14"/>
      <c r="D1144" s="9" t="s">
        <v>1694</v>
      </c>
      <c r="E1144" s="9" t="s">
        <v>1685</v>
      </c>
      <c r="J1144" s="13"/>
      <c r="K1144" s="13"/>
    </row>
    <row r="1145">
      <c r="A1145" s="9">
        <v>919.0</v>
      </c>
      <c r="B1145" s="14" t="s">
        <v>1695</v>
      </c>
      <c r="C1145" s="14"/>
      <c r="D1145" s="9" t="s">
        <v>1696</v>
      </c>
      <c r="E1145" s="9" t="s">
        <v>1685</v>
      </c>
      <c r="J1145" s="13"/>
      <c r="K1145" s="13"/>
    </row>
    <row r="1146">
      <c r="A1146" s="9">
        <v>920.0</v>
      </c>
      <c r="B1146" s="14" t="s">
        <v>1697</v>
      </c>
      <c r="C1146" s="14"/>
      <c r="D1146" s="9" t="s">
        <v>1698</v>
      </c>
      <c r="E1146" s="9" t="s">
        <v>1685</v>
      </c>
      <c r="J1146" s="13"/>
      <c r="K1146" s="13"/>
    </row>
    <row r="1147">
      <c r="A1147" s="9">
        <v>921.0</v>
      </c>
      <c r="B1147" s="14" t="s">
        <v>1699</v>
      </c>
      <c r="C1147" s="14"/>
      <c r="D1147" s="9" t="s">
        <v>1490</v>
      </c>
      <c r="E1147" s="9" t="s">
        <v>1685</v>
      </c>
      <c r="J1147" s="13"/>
      <c r="K1147" s="13"/>
    </row>
    <row r="1148">
      <c r="A1148" s="9">
        <v>922.0</v>
      </c>
      <c r="B1148" s="14" t="s">
        <v>1700</v>
      </c>
      <c r="C1148" s="14"/>
      <c r="D1148" s="9" t="s">
        <v>1701</v>
      </c>
      <c r="E1148" s="9" t="s">
        <v>1685</v>
      </c>
      <c r="J1148" s="13"/>
      <c r="K1148" s="13"/>
    </row>
    <row r="1149">
      <c r="A1149" s="9">
        <v>923.0</v>
      </c>
      <c r="B1149" s="14" t="s">
        <v>1702</v>
      </c>
      <c r="C1149" s="14"/>
      <c r="D1149" s="9" t="s">
        <v>1017</v>
      </c>
      <c r="E1149" s="9" t="s">
        <v>1685</v>
      </c>
      <c r="J1149" s="13"/>
      <c r="K1149" s="13"/>
    </row>
    <row r="1150">
      <c r="A1150" s="9">
        <v>924.0</v>
      </c>
      <c r="B1150" s="14" t="s">
        <v>1703</v>
      </c>
      <c r="C1150" s="14"/>
      <c r="D1150" s="9" t="s">
        <v>1704</v>
      </c>
      <c r="E1150" s="9" t="s">
        <v>1685</v>
      </c>
      <c r="J1150" s="13"/>
      <c r="K1150" s="13"/>
    </row>
    <row r="1151">
      <c r="A1151" s="9">
        <v>925.0</v>
      </c>
      <c r="B1151" s="14" t="s">
        <v>1705</v>
      </c>
      <c r="C1151" s="14"/>
      <c r="D1151" s="9" t="s">
        <v>520</v>
      </c>
      <c r="E1151" s="9" t="s">
        <v>1685</v>
      </c>
      <c r="J1151" s="13"/>
      <c r="K1151" s="13"/>
    </row>
    <row r="1152">
      <c r="A1152" s="9">
        <v>926.0</v>
      </c>
      <c r="B1152" s="14" t="s">
        <v>1706</v>
      </c>
      <c r="C1152" s="14"/>
      <c r="D1152" s="9" t="s">
        <v>1154</v>
      </c>
      <c r="E1152" s="9" t="s">
        <v>1685</v>
      </c>
      <c r="J1152" s="13"/>
      <c r="K1152" s="13"/>
    </row>
    <row r="1153">
      <c r="A1153" s="9">
        <v>927.0</v>
      </c>
      <c r="B1153" s="14" t="s">
        <v>1707</v>
      </c>
      <c r="C1153" s="14"/>
      <c r="D1153" s="9" t="s">
        <v>1269</v>
      </c>
      <c r="E1153" s="9" t="s">
        <v>1685</v>
      </c>
      <c r="J1153" s="13"/>
      <c r="K1153" s="13"/>
    </row>
    <row r="1154">
      <c r="A1154" s="9">
        <v>928.0</v>
      </c>
      <c r="B1154" s="14" t="s">
        <v>1708</v>
      </c>
      <c r="C1154" s="14"/>
      <c r="D1154" s="9" t="s">
        <v>597</v>
      </c>
      <c r="E1154" s="9" t="s">
        <v>1685</v>
      </c>
      <c r="J1154" s="13"/>
      <c r="K1154" s="13"/>
    </row>
    <row r="1155">
      <c r="A1155" s="9">
        <v>929.0</v>
      </c>
      <c r="B1155" s="14" t="s">
        <v>1709</v>
      </c>
      <c r="C1155" s="14"/>
      <c r="D1155" s="9" t="s">
        <v>1460</v>
      </c>
      <c r="E1155" s="9" t="s">
        <v>1685</v>
      </c>
      <c r="J1155" s="13"/>
      <c r="K1155" s="13"/>
    </row>
    <row r="1156">
      <c r="A1156" s="9">
        <v>930.0</v>
      </c>
      <c r="B1156" s="14" t="s">
        <v>1710</v>
      </c>
      <c r="C1156" s="14"/>
      <c r="D1156" s="9" t="s">
        <v>1711</v>
      </c>
      <c r="E1156" s="9" t="s">
        <v>1685</v>
      </c>
      <c r="J1156" s="13"/>
      <c r="K1156" s="13"/>
    </row>
    <row r="1157">
      <c r="A1157" s="9">
        <v>931.0</v>
      </c>
      <c r="B1157" s="14" t="s">
        <v>1712</v>
      </c>
      <c r="C1157" s="14"/>
      <c r="D1157" s="10" t="s">
        <v>1713</v>
      </c>
      <c r="E1157" s="9" t="s">
        <v>1685</v>
      </c>
      <c r="J1157" s="13"/>
      <c r="K1157" s="13"/>
    </row>
    <row r="1158">
      <c r="A1158" s="9"/>
      <c r="B1158" s="14"/>
      <c r="C1158" s="14"/>
      <c r="D1158" s="10" t="s">
        <v>1714</v>
      </c>
      <c r="E1158" s="9"/>
      <c r="J1158" s="13"/>
      <c r="K1158" s="13"/>
    </row>
    <row r="1159">
      <c r="A1159" s="9">
        <v>932.0</v>
      </c>
      <c r="B1159" s="14" t="s">
        <v>1715</v>
      </c>
      <c r="C1159" s="14"/>
      <c r="D1159" s="9" t="s">
        <v>1716</v>
      </c>
      <c r="E1159" s="9" t="s">
        <v>1685</v>
      </c>
      <c r="J1159" s="13"/>
      <c r="K1159" s="13"/>
    </row>
    <row r="1160">
      <c r="A1160" s="9">
        <v>933.0</v>
      </c>
      <c r="B1160" s="14" t="s">
        <v>1717</v>
      </c>
      <c r="C1160" s="14"/>
      <c r="D1160" s="9" t="s">
        <v>685</v>
      </c>
      <c r="E1160" s="9" t="s">
        <v>1685</v>
      </c>
      <c r="J1160" s="13"/>
      <c r="K1160" s="13"/>
    </row>
    <row r="1161">
      <c r="A1161" s="9">
        <v>934.0</v>
      </c>
      <c r="B1161" s="14" t="s">
        <v>1718</v>
      </c>
      <c r="C1161" s="14"/>
      <c r="D1161" s="9" t="s">
        <v>1719</v>
      </c>
      <c r="E1161" s="9" t="s">
        <v>1685</v>
      </c>
      <c r="J1161" s="13"/>
      <c r="K1161" s="13"/>
    </row>
    <row r="1162">
      <c r="A1162" s="9">
        <v>935.0</v>
      </c>
      <c r="B1162" s="14" t="s">
        <v>1720</v>
      </c>
      <c r="C1162" s="14"/>
      <c r="D1162" s="9" t="s">
        <v>1020</v>
      </c>
      <c r="E1162" s="9" t="s">
        <v>1685</v>
      </c>
      <c r="J1162" s="13"/>
      <c r="K1162" s="13"/>
    </row>
    <row r="1163">
      <c r="A1163" s="9">
        <v>936.0</v>
      </c>
      <c r="B1163" s="14" t="s">
        <v>1721</v>
      </c>
      <c r="C1163" s="14"/>
      <c r="D1163" s="9" t="s">
        <v>1722</v>
      </c>
      <c r="E1163" s="9" t="s">
        <v>1685</v>
      </c>
      <c r="J1163" s="13"/>
      <c r="K1163" s="13"/>
    </row>
    <row r="1164">
      <c r="A1164" s="9">
        <v>937.0</v>
      </c>
      <c r="B1164" s="14" t="s">
        <v>1723</v>
      </c>
      <c r="C1164" s="14"/>
      <c r="D1164" s="9" t="s">
        <v>1724</v>
      </c>
      <c r="E1164" s="9" t="s">
        <v>1685</v>
      </c>
      <c r="J1164" s="13"/>
      <c r="K1164" s="13"/>
    </row>
    <row r="1165">
      <c r="A1165" s="9">
        <v>938.0</v>
      </c>
      <c r="B1165" s="14" t="s">
        <v>1725</v>
      </c>
      <c r="C1165" s="14"/>
      <c r="D1165" s="9" t="s">
        <v>1726</v>
      </c>
      <c r="E1165" s="9" t="s">
        <v>1685</v>
      </c>
      <c r="J1165" s="13"/>
      <c r="K1165" s="13"/>
    </row>
    <row r="1166">
      <c r="A1166" s="9">
        <v>939.0</v>
      </c>
      <c r="B1166" s="14" t="s">
        <v>1727</v>
      </c>
      <c r="C1166" s="14"/>
      <c r="D1166" s="9" t="s">
        <v>1728</v>
      </c>
      <c r="E1166" s="9" t="s">
        <v>1685</v>
      </c>
      <c r="J1166" s="13"/>
      <c r="K1166" s="13"/>
    </row>
    <row r="1167">
      <c r="A1167" s="9">
        <v>940.0</v>
      </c>
      <c r="B1167" s="14" t="s">
        <v>1729</v>
      </c>
      <c r="C1167" s="14"/>
      <c r="D1167" s="9" t="s">
        <v>1112</v>
      </c>
      <c r="E1167" s="9" t="s">
        <v>1685</v>
      </c>
      <c r="J1167" s="13"/>
      <c r="K1167" s="13"/>
    </row>
    <row r="1168">
      <c r="A1168" s="9">
        <v>941.0</v>
      </c>
      <c r="B1168" s="14" t="s">
        <v>1730</v>
      </c>
      <c r="C1168" s="14"/>
      <c r="D1168" s="9" t="s">
        <v>1731</v>
      </c>
      <c r="E1168" s="9" t="s">
        <v>1685</v>
      </c>
      <c r="J1168" s="13"/>
      <c r="K1168" s="13"/>
    </row>
    <row r="1169">
      <c r="A1169" s="9">
        <v>942.0</v>
      </c>
      <c r="B1169" s="14" t="s">
        <v>1732</v>
      </c>
      <c r="C1169" s="14"/>
      <c r="D1169" s="9" t="s">
        <v>1042</v>
      </c>
      <c r="E1169" s="9" t="s">
        <v>1685</v>
      </c>
      <c r="J1169" s="13"/>
      <c r="K1169" s="13"/>
    </row>
    <row r="1170">
      <c r="A1170" s="9">
        <v>943.0</v>
      </c>
      <c r="B1170" s="14" t="s">
        <v>1733</v>
      </c>
      <c r="C1170" s="14"/>
      <c r="D1170" s="9" t="s">
        <v>1734</v>
      </c>
      <c r="E1170" s="9" t="s">
        <v>1685</v>
      </c>
      <c r="J1170" s="13"/>
      <c r="K1170" s="13"/>
    </row>
    <row r="1171">
      <c r="A1171" s="9">
        <v>944.0</v>
      </c>
      <c r="B1171" s="14" t="s">
        <v>1735</v>
      </c>
      <c r="C1171" s="14"/>
      <c r="D1171" s="9" t="s">
        <v>951</v>
      </c>
      <c r="E1171" s="9" t="s">
        <v>1685</v>
      </c>
      <c r="J1171" s="13"/>
      <c r="K1171" s="13"/>
    </row>
    <row r="1172">
      <c r="A1172" s="9"/>
      <c r="B1172" s="14"/>
      <c r="C1172" s="14"/>
      <c r="D1172" s="9"/>
      <c r="E1172" s="9"/>
      <c r="J1172" s="13"/>
      <c r="K1172" s="13"/>
    </row>
    <row r="1173">
      <c r="A1173" s="9"/>
      <c r="B1173" s="14"/>
      <c r="C1173" s="14"/>
      <c r="D1173" s="9"/>
      <c r="E1173" s="9"/>
      <c r="J1173" s="13"/>
      <c r="K1173" s="13"/>
    </row>
    <row r="1174">
      <c r="A1174" s="9"/>
      <c r="B1174" s="14"/>
      <c r="C1174" s="14"/>
      <c r="D1174" s="9"/>
      <c r="E1174" s="9"/>
      <c r="J1174" s="13"/>
      <c r="K1174" s="13"/>
    </row>
    <row r="1175">
      <c r="A1175" s="9"/>
      <c r="B1175" s="14"/>
      <c r="C1175" s="14"/>
      <c r="D1175" s="9"/>
      <c r="E1175" s="9"/>
      <c r="J1175" s="13"/>
      <c r="K1175" s="13"/>
    </row>
    <row r="1176">
      <c r="A1176" s="9"/>
      <c r="B1176" s="14"/>
      <c r="C1176" s="14"/>
      <c r="D1176" s="9"/>
      <c r="E1176" s="9"/>
      <c r="J1176" s="13"/>
      <c r="K1176" s="13"/>
    </row>
    <row r="1177">
      <c r="A1177" s="9"/>
      <c r="B1177" s="14"/>
      <c r="C1177" s="14"/>
      <c r="D1177" s="9"/>
      <c r="E1177" s="9"/>
      <c r="J1177" s="13"/>
      <c r="K1177" s="13"/>
    </row>
    <row r="1178">
      <c r="A1178" s="9"/>
      <c r="B1178" s="14"/>
      <c r="C1178" s="14"/>
      <c r="D1178" s="9"/>
      <c r="E1178" s="9"/>
      <c r="J1178" s="13"/>
      <c r="K1178" s="13"/>
    </row>
    <row r="1179">
      <c r="A1179" s="9"/>
      <c r="B1179" s="14"/>
      <c r="C1179" s="14"/>
      <c r="D1179" s="9"/>
      <c r="E1179" s="9"/>
      <c r="J1179" s="13"/>
      <c r="K1179" s="13"/>
    </row>
    <row r="1180">
      <c r="A1180" s="9"/>
      <c r="B1180" s="14"/>
      <c r="C1180" s="14"/>
      <c r="D1180" s="9"/>
      <c r="E1180" s="9"/>
      <c r="J1180" s="13"/>
      <c r="K1180" s="13"/>
    </row>
    <row r="1181">
      <c r="A1181" s="9"/>
      <c r="B1181" s="14"/>
      <c r="C1181" s="14"/>
      <c r="D1181" s="9"/>
      <c r="E1181" s="9"/>
      <c r="J1181" s="13"/>
      <c r="K1181" s="13"/>
    </row>
    <row r="1182">
      <c r="A1182" s="9"/>
      <c r="B1182" s="14"/>
      <c r="C1182" s="14"/>
      <c r="D1182" s="9"/>
      <c r="E1182" s="9"/>
      <c r="J1182" s="13"/>
      <c r="K1182" s="13"/>
    </row>
    <row r="1183">
      <c r="A1183" s="9"/>
      <c r="B1183" s="14"/>
      <c r="C1183" s="14"/>
      <c r="D1183" s="9"/>
      <c r="E1183" s="9"/>
      <c r="J1183" s="13"/>
      <c r="K1183" s="13"/>
    </row>
    <row r="1184">
      <c r="A1184" s="9"/>
      <c r="B1184" s="14"/>
      <c r="C1184" s="14"/>
      <c r="D1184" s="9"/>
      <c r="E1184" s="9"/>
      <c r="J1184" s="13"/>
      <c r="K1184" s="13"/>
    </row>
    <row r="1185">
      <c r="A1185" s="9"/>
      <c r="B1185" s="14"/>
      <c r="C1185" s="14"/>
      <c r="D1185" s="9"/>
      <c r="E1185" s="9"/>
      <c r="J1185" s="13"/>
      <c r="K1185" s="13"/>
    </row>
    <row r="1186">
      <c r="A1186" s="9"/>
      <c r="B1186" s="14"/>
      <c r="C1186" s="14"/>
      <c r="D1186" s="9"/>
      <c r="E1186" s="9"/>
      <c r="J1186" s="13"/>
      <c r="K1186" s="13"/>
    </row>
    <row r="1187">
      <c r="A1187" s="9"/>
      <c r="B1187" s="14"/>
      <c r="C1187" s="14"/>
      <c r="D1187" s="9"/>
      <c r="E1187" s="9"/>
      <c r="J1187" s="13"/>
      <c r="K1187" s="13"/>
    </row>
    <row r="1188">
      <c r="A1188" s="9"/>
      <c r="B1188" s="14"/>
      <c r="C1188" s="14"/>
      <c r="D1188" s="9"/>
      <c r="E1188" s="9"/>
      <c r="J1188" s="13"/>
      <c r="K1188" s="13"/>
    </row>
    <row r="1189">
      <c r="A1189" s="9"/>
      <c r="B1189" s="14"/>
      <c r="C1189" s="14"/>
      <c r="D1189" s="9"/>
      <c r="E1189" s="9"/>
      <c r="J1189" s="13"/>
      <c r="K1189" s="13"/>
    </row>
    <row r="1190">
      <c r="A1190" s="9"/>
      <c r="B1190" s="14"/>
      <c r="C1190" s="14"/>
      <c r="D1190" s="9"/>
      <c r="E1190" s="9"/>
      <c r="J1190" s="13"/>
      <c r="K1190" s="13"/>
    </row>
    <row r="1191">
      <c r="A1191" s="9"/>
      <c r="B1191" s="14"/>
      <c r="C1191" s="14"/>
      <c r="D1191" s="9"/>
      <c r="E1191" s="9"/>
      <c r="J1191" s="13"/>
      <c r="K1191" s="13"/>
    </row>
    <row r="1192">
      <c r="A1192" s="9"/>
      <c r="B1192" s="14"/>
      <c r="C1192" s="14"/>
      <c r="D1192" s="9"/>
      <c r="E1192" s="9"/>
      <c r="J1192" s="13"/>
      <c r="K1192" s="13"/>
    </row>
    <row r="1193">
      <c r="A1193" s="9"/>
      <c r="B1193" s="14"/>
      <c r="C1193" s="14"/>
      <c r="D1193" s="9"/>
      <c r="E1193" s="9"/>
      <c r="J1193" s="13"/>
      <c r="K1193" s="13"/>
    </row>
    <row r="1194">
      <c r="A1194" s="9"/>
      <c r="B1194" s="14"/>
      <c r="C1194" s="14"/>
      <c r="D1194" s="9"/>
      <c r="E1194" s="9"/>
      <c r="J1194" s="13"/>
      <c r="K1194" s="13"/>
    </row>
    <row r="1195">
      <c r="A1195" s="9"/>
      <c r="B1195" s="14"/>
      <c r="C1195" s="14"/>
      <c r="D1195" s="9"/>
      <c r="E1195" s="9"/>
      <c r="J1195" s="13"/>
      <c r="K1195" s="13"/>
    </row>
    <row r="1196">
      <c r="A1196" s="9"/>
      <c r="B1196" s="14"/>
      <c r="C1196" s="14"/>
      <c r="D1196" s="9"/>
      <c r="E1196" s="9"/>
      <c r="J1196" s="13"/>
      <c r="K1196" s="13"/>
    </row>
    <row r="1197">
      <c r="A1197" s="9"/>
      <c r="B1197" s="14"/>
      <c r="C1197" s="14"/>
      <c r="D1197" s="9"/>
      <c r="E1197" s="9"/>
      <c r="J1197" s="13"/>
      <c r="K1197" s="13"/>
    </row>
    <row r="1198">
      <c r="A1198" s="9"/>
      <c r="B1198" s="14"/>
      <c r="C1198" s="14"/>
      <c r="D1198" s="9"/>
      <c r="E1198" s="9"/>
      <c r="J1198" s="13"/>
      <c r="K1198" s="13"/>
    </row>
    <row r="1199">
      <c r="A1199" s="9"/>
      <c r="B1199" s="14"/>
      <c r="C1199" s="14"/>
      <c r="D1199" s="9"/>
      <c r="E1199" s="9"/>
      <c r="J1199" s="13"/>
      <c r="K1199" s="13"/>
    </row>
    <row r="1200">
      <c r="A1200" s="9"/>
      <c r="B1200" s="14"/>
      <c r="C1200" s="14"/>
      <c r="D1200" s="9"/>
      <c r="E1200" s="9"/>
      <c r="J1200" s="13"/>
      <c r="K1200" s="13"/>
    </row>
    <row r="1201">
      <c r="A1201" s="9"/>
      <c r="B1201" s="14"/>
      <c r="C1201" s="14"/>
      <c r="D1201" s="9"/>
      <c r="E1201" s="9"/>
      <c r="J1201" s="13"/>
      <c r="K1201" s="13"/>
    </row>
    <row r="1202">
      <c r="A1202" s="9"/>
      <c r="B1202" s="14"/>
      <c r="C1202" s="14"/>
      <c r="D1202" s="9"/>
      <c r="E1202" s="9"/>
      <c r="J1202" s="13"/>
      <c r="K1202" s="13"/>
    </row>
    <row r="1203">
      <c r="A1203" s="9"/>
      <c r="B1203" s="14"/>
      <c r="C1203" s="14"/>
      <c r="D1203" s="9"/>
      <c r="E1203" s="9"/>
      <c r="J1203" s="13"/>
      <c r="K1203" s="13"/>
    </row>
    <row r="1204">
      <c r="A1204" s="9"/>
      <c r="B1204" s="14"/>
      <c r="C1204" s="14"/>
      <c r="D1204" s="9"/>
      <c r="E1204" s="9"/>
      <c r="J1204" s="13"/>
      <c r="K1204" s="13"/>
    </row>
    <row r="1205">
      <c r="A1205" s="9"/>
      <c r="B1205" s="14"/>
      <c r="C1205" s="14"/>
      <c r="D1205" s="9"/>
      <c r="E1205" s="9"/>
      <c r="J1205" s="13"/>
      <c r="K1205" s="13"/>
    </row>
    <row r="1206">
      <c r="A1206" s="9"/>
      <c r="B1206" s="14"/>
      <c r="C1206" s="14"/>
      <c r="D1206" s="9"/>
      <c r="E1206" s="9"/>
      <c r="J1206" s="13"/>
      <c r="K1206" s="13"/>
    </row>
    <row r="1207">
      <c r="A1207" s="9"/>
      <c r="B1207" s="14"/>
      <c r="C1207" s="14"/>
      <c r="D1207" s="9"/>
      <c r="E1207" s="9"/>
      <c r="J1207" s="13"/>
      <c r="K1207" s="13"/>
    </row>
    <row r="1208">
      <c r="A1208" s="9"/>
      <c r="B1208" s="14"/>
      <c r="C1208" s="14"/>
      <c r="D1208" s="9"/>
      <c r="E1208" s="9"/>
      <c r="J1208" s="13"/>
      <c r="K1208" s="13"/>
    </row>
    <row r="1209">
      <c r="A1209" s="9"/>
      <c r="B1209" s="14"/>
      <c r="C1209" s="14"/>
      <c r="D1209" s="9"/>
      <c r="E1209" s="9"/>
      <c r="J1209" s="13"/>
      <c r="K1209" s="13"/>
    </row>
    <row r="1210">
      <c r="A1210" s="9"/>
      <c r="B1210" s="14"/>
      <c r="C1210" s="14"/>
      <c r="D1210" s="9"/>
      <c r="E1210" s="9"/>
      <c r="J1210" s="13"/>
      <c r="K1210" s="13"/>
    </row>
    <row r="1211">
      <c r="A1211" s="9"/>
      <c r="B1211" s="14"/>
      <c r="C1211" s="14"/>
      <c r="D1211" s="9"/>
      <c r="E1211" s="9"/>
      <c r="J1211" s="13"/>
      <c r="K1211" s="13"/>
    </row>
    <row r="1212">
      <c r="A1212" s="9"/>
      <c r="B1212" s="14"/>
      <c r="C1212" s="14"/>
      <c r="D1212" s="9"/>
      <c r="E1212" s="9"/>
      <c r="J1212" s="13"/>
      <c r="K1212" s="13"/>
    </row>
    <row r="1213">
      <c r="A1213" s="9"/>
      <c r="B1213" s="14"/>
      <c r="C1213" s="14"/>
      <c r="D1213" s="9"/>
      <c r="E1213" s="9"/>
      <c r="J1213" s="13"/>
      <c r="K1213" s="13"/>
    </row>
    <row r="1214">
      <c r="A1214" s="9"/>
      <c r="B1214" s="14"/>
      <c r="C1214" s="14"/>
      <c r="D1214" s="9"/>
      <c r="E1214" s="9"/>
      <c r="J1214" s="13"/>
      <c r="K1214" s="13"/>
    </row>
    <row r="1215">
      <c r="A1215" s="9"/>
      <c r="B1215" s="14"/>
      <c r="C1215" s="14"/>
      <c r="D1215" s="9"/>
      <c r="E1215" s="9"/>
      <c r="J1215" s="13"/>
      <c r="K1215" s="13"/>
    </row>
    <row r="1216">
      <c r="A1216" s="9"/>
      <c r="B1216" s="14"/>
      <c r="C1216" s="14"/>
      <c r="D1216" s="9"/>
      <c r="E1216" s="9"/>
      <c r="J1216" s="13"/>
      <c r="K1216" s="13"/>
    </row>
    <row r="1217">
      <c r="A1217" s="9"/>
      <c r="B1217" s="14"/>
      <c r="C1217" s="14"/>
      <c r="D1217" s="9"/>
      <c r="E1217" s="9"/>
      <c r="J1217" s="13"/>
      <c r="K1217" s="13"/>
    </row>
    <row r="1218">
      <c r="A1218" s="9"/>
      <c r="B1218" s="14"/>
      <c r="C1218" s="14"/>
      <c r="D1218" s="9"/>
      <c r="E1218" s="9"/>
      <c r="J1218" s="13"/>
      <c r="K1218" s="13"/>
    </row>
    <row r="1219">
      <c r="A1219" s="9"/>
      <c r="B1219" s="14"/>
      <c r="C1219" s="14"/>
      <c r="D1219" s="9"/>
      <c r="E1219" s="9"/>
      <c r="J1219" s="13"/>
      <c r="K1219" s="13"/>
    </row>
    <row r="1220">
      <c r="A1220" s="9"/>
      <c r="B1220" s="14"/>
      <c r="C1220" s="14"/>
      <c r="D1220" s="9"/>
      <c r="E1220" s="9"/>
      <c r="J1220" s="13"/>
      <c r="K1220" s="13"/>
    </row>
    <row r="1221">
      <c r="A1221" s="9"/>
      <c r="B1221" s="14"/>
      <c r="C1221" s="14"/>
      <c r="D1221" s="9"/>
      <c r="E1221" s="9"/>
      <c r="J1221" s="13"/>
      <c r="K1221" s="13"/>
    </row>
    <row r="1222">
      <c r="A1222" s="9"/>
      <c r="B1222" s="14"/>
      <c r="C1222" s="14"/>
      <c r="D1222" s="9"/>
      <c r="E1222" s="9"/>
      <c r="J1222" s="13"/>
      <c r="K1222" s="13"/>
    </row>
    <row r="1223">
      <c r="A1223" s="9"/>
      <c r="B1223" s="14"/>
      <c r="C1223" s="14"/>
      <c r="D1223" s="9"/>
      <c r="E1223" s="9"/>
      <c r="J1223" s="13"/>
      <c r="K1223" s="13"/>
    </row>
    <row r="1224">
      <c r="A1224" s="9"/>
      <c r="B1224" s="14"/>
      <c r="C1224" s="14"/>
      <c r="D1224" s="9"/>
      <c r="E1224" s="9"/>
      <c r="J1224" s="13"/>
      <c r="K1224" s="13"/>
    </row>
    <row r="1225">
      <c r="A1225" s="9"/>
      <c r="B1225" s="14"/>
      <c r="C1225" s="14"/>
      <c r="D1225" s="9"/>
      <c r="E1225" s="9"/>
      <c r="J1225" s="13"/>
      <c r="K1225" s="13"/>
    </row>
    <row r="1226">
      <c r="A1226" s="9"/>
      <c r="B1226" s="14"/>
      <c r="C1226" s="14"/>
      <c r="D1226" s="9"/>
      <c r="E1226" s="9"/>
      <c r="J1226" s="13"/>
      <c r="K1226" s="13"/>
    </row>
    <row r="1227">
      <c r="A1227" s="9"/>
      <c r="B1227" s="14"/>
      <c r="C1227" s="14"/>
      <c r="D1227" s="9"/>
      <c r="E1227" s="9"/>
      <c r="J1227" s="13"/>
      <c r="K1227" s="13"/>
    </row>
    <row r="1228">
      <c r="A1228" s="9"/>
      <c r="B1228" s="14"/>
      <c r="C1228" s="14"/>
      <c r="D1228" s="9"/>
      <c r="E1228" s="9"/>
      <c r="J1228" s="13"/>
      <c r="K1228" s="13"/>
    </row>
    <row r="1229">
      <c r="A1229" s="9"/>
      <c r="B1229" s="14"/>
      <c r="C1229" s="14"/>
      <c r="D1229" s="9"/>
      <c r="E1229" s="9"/>
      <c r="J1229" s="13"/>
      <c r="K1229" s="13"/>
    </row>
    <row r="1230">
      <c r="A1230" s="9"/>
      <c r="B1230" s="14"/>
      <c r="C1230" s="14"/>
      <c r="D1230" s="9"/>
      <c r="E1230" s="9"/>
      <c r="J1230" s="13"/>
      <c r="K1230" s="13"/>
    </row>
    <row r="1231">
      <c r="A1231" s="9"/>
      <c r="B1231" s="14"/>
      <c r="C1231" s="14"/>
      <c r="D1231" s="9"/>
      <c r="E1231" s="9"/>
      <c r="J1231" s="13"/>
      <c r="K1231" s="13"/>
    </row>
    <row r="1232">
      <c r="A1232" s="9"/>
      <c r="B1232" s="14"/>
      <c r="C1232" s="14"/>
      <c r="D1232" s="9"/>
      <c r="E1232" s="9"/>
      <c r="J1232" s="13"/>
      <c r="K1232" s="13"/>
    </row>
    <row r="1233">
      <c r="A1233" s="9"/>
      <c r="B1233" s="14"/>
      <c r="C1233" s="14"/>
      <c r="D1233" s="9"/>
      <c r="E1233" s="9"/>
      <c r="J1233" s="13"/>
      <c r="K1233" s="13"/>
    </row>
    <row r="1234">
      <c r="A1234" s="9"/>
      <c r="B1234" s="14"/>
      <c r="C1234" s="14"/>
      <c r="D1234" s="9"/>
      <c r="E1234" s="9"/>
      <c r="J1234" s="13"/>
      <c r="K1234" s="13"/>
    </row>
    <row r="1235">
      <c r="A1235" s="9"/>
      <c r="B1235" s="14"/>
      <c r="C1235" s="14"/>
      <c r="D1235" s="9"/>
      <c r="E1235" s="9"/>
      <c r="J1235" s="13"/>
      <c r="K1235" s="13"/>
    </row>
    <row r="1236">
      <c r="A1236" s="9"/>
      <c r="B1236" s="14"/>
      <c r="C1236" s="14"/>
      <c r="D1236" s="9"/>
      <c r="E1236" s="9"/>
      <c r="J1236" s="13"/>
      <c r="K1236" s="13"/>
    </row>
    <row r="1237">
      <c r="A1237" s="9"/>
      <c r="B1237" s="14"/>
      <c r="C1237" s="14"/>
      <c r="D1237" s="9"/>
      <c r="E1237" s="9"/>
      <c r="J1237" s="13"/>
      <c r="K1237" s="13"/>
    </row>
    <row r="1238">
      <c r="A1238" s="9"/>
      <c r="B1238" s="14"/>
      <c r="C1238" s="14"/>
      <c r="D1238" s="9"/>
      <c r="E1238" s="9"/>
      <c r="J1238" s="13"/>
      <c r="K1238" s="13"/>
    </row>
    <row r="1239">
      <c r="A1239" s="9"/>
      <c r="B1239" s="14"/>
      <c r="C1239" s="14"/>
      <c r="D1239" s="9"/>
      <c r="E1239" s="9"/>
      <c r="J1239" s="13"/>
      <c r="K1239" s="13"/>
    </row>
    <row r="1240">
      <c r="A1240" s="9"/>
      <c r="B1240" s="14"/>
      <c r="C1240" s="14"/>
      <c r="D1240" s="9"/>
      <c r="E1240" s="9"/>
      <c r="J1240" s="13"/>
      <c r="K1240" s="13"/>
    </row>
    <row r="1241">
      <c r="A1241" s="9"/>
      <c r="B1241" s="14"/>
      <c r="C1241" s="14"/>
      <c r="D1241" s="9"/>
      <c r="E1241" s="9"/>
      <c r="J1241" s="13"/>
      <c r="K1241" s="13"/>
    </row>
    <row r="1242">
      <c r="A1242" s="9"/>
      <c r="B1242" s="14"/>
      <c r="C1242" s="14"/>
      <c r="D1242" s="9"/>
      <c r="E1242" s="9"/>
      <c r="J1242" s="13"/>
      <c r="K1242" s="13"/>
    </row>
    <row r="1243">
      <c r="A1243" s="9"/>
      <c r="B1243" s="14"/>
      <c r="C1243" s="14"/>
      <c r="D1243" s="9"/>
      <c r="E1243" s="9"/>
      <c r="J1243" s="13"/>
      <c r="K1243" s="13"/>
    </row>
    <row r="1244">
      <c r="A1244" s="9"/>
      <c r="B1244" s="14"/>
      <c r="C1244" s="14"/>
      <c r="D1244" s="9"/>
      <c r="E1244" s="9"/>
      <c r="J1244" s="13"/>
      <c r="K1244" s="13"/>
    </row>
    <row r="1245">
      <c r="A1245" s="9"/>
      <c r="B1245" s="14"/>
      <c r="C1245" s="14"/>
      <c r="D1245" s="9"/>
      <c r="E1245" s="9"/>
      <c r="J1245" s="13"/>
      <c r="K1245" s="13"/>
    </row>
    <row r="1246">
      <c r="A1246" s="9"/>
      <c r="B1246" s="14"/>
      <c r="C1246" s="14"/>
      <c r="D1246" s="9"/>
      <c r="E1246" s="9"/>
      <c r="J1246" s="13"/>
      <c r="K1246" s="13"/>
    </row>
    <row r="1247">
      <c r="A1247" s="9"/>
      <c r="B1247" s="14"/>
      <c r="C1247" s="14"/>
      <c r="D1247" s="9"/>
      <c r="E1247" s="9"/>
      <c r="J1247" s="13"/>
      <c r="K1247" s="13"/>
    </row>
    <row r="1248">
      <c r="A1248" s="9"/>
      <c r="B1248" s="14"/>
      <c r="C1248" s="14"/>
      <c r="D1248" s="9"/>
      <c r="E1248" s="9"/>
      <c r="J1248" s="13"/>
      <c r="K1248" s="13"/>
    </row>
    <row r="1249">
      <c r="A1249" s="9"/>
      <c r="B1249" s="14"/>
      <c r="C1249" s="14"/>
      <c r="D1249" s="9"/>
      <c r="E1249" s="9"/>
      <c r="J1249" s="13"/>
      <c r="K1249" s="13"/>
    </row>
    <row r="1250">
      <c r="A1250" s="9"/>
      <c r="B1250" s="14"/>
      <c r="C1250" s="14"/>
      <c r="D1250" s="9"/>
      <c r="E1250" s="9"/>
      <c r="J1250" s="13"/>
      <c r="K1250" s="13"/>
    </row>
    <row r="1251">
      <c r="A1251" s="9"/>
      <c r="B1251" s="14"/>
      <c r="C1251" s="14"/>
      <c r="D1251" s="9"/>
      <c r="E1251" s="9"/>
      <c r="J1251" s="13"/>
      <c r="K1251" s="13"/>
    </row>
    <row r="1252">
      <c r="A1252" s="9"/>
      <c r="B1252" s="14"/>
      <c r="C1252" s="14"/>
      <c r="D1252" s="9"/>
      <c r="E1252" s="9"/>
      <c r="J1252" s="13"/>
      <c r="K1252" s="13"/>
    </row>
    <row r="1253">
      <c r="A1253" s="9"/>
      <c r="B1253" s="14"/>
      <c r="C1253" s="14"/>
      <c r="D1253" s="9"/>
      <c r="E1253" s="9"/>
      <c r="J1253" s="13"/>
      <c r="K1253" s="13"/>
    </row>
    <row r="1254">
      <c r="A1254" s="9"/>
      <c r="B1254" s="14"/>
      <c r="C1254" s="14"/>
      <c r="D1254" s="9"/>
      <c r="E1254" s="9"/>
      <c r="J1254" s="13"/>
      <c r="K1254" s="13"/>
    </row>
    <row r="1255">
      <c r="A1255" s="9"/>
      <c r="B1255" s="14"/>
      <c r="C1255" s="14"/>
      <c r="D1255" s="9"/>
      <c r="E1255" s="9"/>
      <c r="J1255" s="13"/>
      <c r="K1255" s="13"/>
    </row>
    <row r="1256">
      <c r="A1256" s="9"/>
      <c r="B1256" s="14"/>
      <c r="C1256" s="14"/>
      <c r="D1256" s="9"/>
      <c r="E1256" s="9"/>
      <c r="J1256" s="13"/>
      <c r="K1256" s="13"/>
    </row>
    <row r="1257">
      <c r="A1257" s="9"/>
      <c r="B1257" s="14"/>
      <c r="C1257" s="14"/>
      <c r="D1257" s="9"/>
      <c r="E1257" s="9"/>
      <c r="J1257" s="13"/>
      <c r="K1257" s="13"/>
    </row>
    <row r="1258">
      <c r="A1258" s="9"/>
      <c r="B1258" s="14"/>
      <c r="C1258" s="14"/>
      <c r="D1258" s="9"/>
      <c r="E1258" s="9"/>
      <c r="J1258" s="13"/>
      <c r="K1258" s="13"/>
    </row>
    <row r="1259">
      <c r="A1259" s="9"/>
      <c r="B1259" s="14"/>
      <c r="C1259" s="14"/>
      <c r="D1259" s="9"/>
      <c r="E1259" s="9"/>
      <c r="J1259" s="13"/>
      <c r="K1259" s="13"/>
    </row>
    <row r="1260">
      <c r="A1260" s="9"/>
      <c r="B1260" s="14"/>
      <c r="C1260" s="14"/>
      <c r="D1260" s="9"/>
      <c r="E1260" s="9"/>
      <c r="J1260" s="13"/>
      <c r="K1260" s="13"/>
    </row>
    <row r="1261">
      <c r="A1261" s="9"/>
      <c r="B1261" s="14"/>
      <c r="C1261" s="14"/>
      <c r="D1261" s="9"/>
      <c r="E1261" s="9"/>
      <c r="J1261" s="13"/>
      <c r="K1261" s="13"/>
    </row>
    <row r="1262">
      <c r="A1262" s="9"/>
      <c r="B1262" s="14"/>
      <c r="C1262" s="14"/>
      <c r="D1262" s="9"/>
      <c r="E1262" s="9"/>
      <c r="J1262" s="13"/>
      <c r="K1262" s="13"/>
    </row>
    <row r="1263">
      <c r="A1263" s="9"/>
      <c r="B1263" s="14"/>
      <c r="C1263" s="14"/>
      <c r="D1263" s="9"/>
      <c r="E1263" s="9"/>
      <c r="J1263" s="13"/>
      <c r="K1263" s="13"/>
    </row>
    <row r="1264">
      <c r="A1264" s="9"/>
      <c r="B1264" s="14"/>
      <c r="C1264" s="14"/>
      <c r="D1264" s="9"/>
      <c r="E1264" s="9"/>
      <c r="J1264" s="13"/>
      <c r="K1264" s="13"/>
    </row>
    <row r="1265">
      <c r="A1265" s="9"/>
      <c r="B1265" s="14"/>
      <c r="C1265" s="14"/>
      <c r="D1265" s="9"/>
      <c r="E1265" s="9"/>
      <c r="J1265" s="13"/>
      <c r="K1265" s="13"/>
    </row>
    <row r="1266">
      <c r="A1266" s="9"/>
      <c r="B1266" s="14"/>
      <c r="C1266" s="14"/>
      <c r="D1266" s="9"/>
      <c r="E1266" s="9"/>
      <c r="J1266" s="13"/>
      <c r="K1266" s="13"/>
    </row>
    <row r="1267">
      <c r="A1267" s="9"/>
      <c r="B1267" s="14"/>
      <c r="C1267" s="14"/>
      <c r="D1267" s="9"/>
      <c r="E1267" s="9"/>
      <c r="J1267" s="13"/>
      <c r="K1267" s="13"/>
    </row>
    <row r="1268">
      <c r="A1268" s="9"/>
      <c r="B1268" s="14"/>
      <c r="C1268" s="14"/>
      <c r="D1268" s="9"/>
      <c r="E1268" s="9"/>
      <c r="J1268" s="13"/>
      <c r="K1268" s="13"/>
    </row>
    <row r="1269">
      <c r="A1269" s="9"/>
      <c r="B1269" s="14"/>
      <c r="C1269" s="14"/>
      <c r="D1269" s="9"/>
      <c r="E1269" s="9"/>
      <c r="J1269" s="13"/>
      <c r="K1269" s="13"/>
    </row>
    <row r="1270">
      <c r="A1270" s="9"/>
      <c r="B1270" s="14"/>
      <c r="C1270" s="14"/>
      <c r="D1270" s="9"/>
      <c r="E1270" s="9"/>
      <c r="J1270" s="13"/>
      <c r="K1270" s="13"/>
    </row>
    <row r="1271">
      <c r="A1271" s="9"/>
      <c r="B1271" s="14"/>
      <c r="C1271" s="14"/>
      <c r="D1271" s="9"/>
      <c r="E1271" s="9"/>
      <c r="J1271" s="13"/>
      <c r="K1271" s="13"/>
    </row>
    <row r="1272">
      <c r="A1272" s="9"/>
      <c r="B1272" s="14"/>
      <c r="C1272" s="14"/>
      <c r="D1272" s="9"/>
      <c r="E1272" s="9"/>
      <c r="J1272" s="13"/>
      <c r="K1272" s="13"/>
    </row>
    <row r="1273">
      <c r="A1273" s="9"/>
      <c r="B1273" s="14"/>
      <c r="C1273" s="14"/>
      <c r="D1273" s="9"/>
      <c r="E1273" s="9"/>
      <c r="J1273" s="13"/>
      <c r="K1273" s="13"/>
    </row>
    <row r="1274">
      <c r="A1274" s="9"/>
      <c r="B1274" s="14"/>
      <c r="C1274" s="14"/>
      <c r="D1274" s="9"/>
      <c r="E1274" s="9"/>
      <c r="J1274" s="13"/>
      <c r="K1274" s="13"/>
    </row>
    <row r="1275">
      <c r="A1275" s="9"/>
      <c r="B1275" s="14"/>
      <c r="C1275" s="14"/>
      <c r="D1275" s="9"/>
      <c r="E1275" s="9"/>
      <c r="J1275" s="13"/>
      <c r="K1275" s="13"/>
    </row>
    <row r="1276">
      <c r="A1276" s="9"/>
      <c r="B1276" s="14"/>
      <c r="C1276" s="14"/>
      <c r="D1276" s="9"/>
      <c r="E1276" s="9"/>
      <c r="J1276" s="13"/>
      <c r="K1276" s="13"/>
    </row>
    <row r="1277">
      <c r="A1277" s="9"/>
      <c r="B1277" s="14"/>
      <c r="C1277" s="14"/>
      <c r="D1277" s="9"/>
      <c r="E1277" s="9"/>
      <c r="J1277" s="13"/>
      <c r="K1277" s="13"/>
    </row>
    <row r="1278">
      <c r="A1278" s="9"/>
      <c r="B1278" s="14"/>
      <c r="C1278" s="14"/>
      <c r="D1278" s="9"/>
      <c r="E1278" s="9"/>
      <c r="J1278" s="13"/>
      <c r="K1278" s="13"/>
    </row>
    <row r="1279">
      <c r="A1279" s="9"/>
      <c r="B1279" s="14"/>
      <c r="C1279" s="14"/>
      <c r="D1279" s="9"/>
      <c r="E1279" s="9"/>
      <c r="J1279" s="13"/>
      <c r="K1279" s="13"/>
    </row>
    <row r="1280">
      <c r="A1280" s="9"/>
      <c r="B1280" s="14"/>
      <c r="C1280" s="14"/>
      <c r="D1280" s="9"/>
      <c r="E1280" s="9"/>
      <c r="J1280" s="13"/>
      <c r="K1280" s="13"/>
    </row>
    <row r="1281">
      <c r="A1281" s="9"/>
      <c r="B1281" s="14"/>
      <c r="C1281" s="14"/>
      <c r="D1281" s="9"/>
      <c r="E1281" s="9"/>
      <c r="J1281" s="13"/>
      <c r="K1281" s="13"/>
    </row>
    <row r="1282">
      <c r="A1282" s="9"/>
      <c r="B1282" s="14"/>
      <c r="C1282" s="14"/>
      <c r="D1282" s="9"/>
      <c r="E1282" s="9"/>
      <c r="J1282" s="13"/>
      <c r="K1282" s="13"/>
    </row>
    <row r="1283">
      <c r="A1283" s="9"/>
      <c r="B1283" s="14"/>
      <c r="C1283" s="14"/>
      <c r="D1283" s="9"/>
      <c r="E1283" s="9"/>
      <c r="J1283" s="13"/>
      <c r="K1283" s="13"/>
    </row>
    <row r="1284">
      <c r="A1284" s="9"/>
      <c r="B1284" s="14"/>
      <c r="C1284" s="14"/>
      <c r="D1284" s="9"/>
      <c r="E1284" s="9"/>
      <c r="J1284" s="13"/>
      <c r="K1284" s="13"/>
    </row>
    <row r="1285">
      <c r="A1285" s="9"/>
      <c r="B1285" s="14"/>
      <c r="C1285" s="14"/>
      <c r="D1285" s="9"/>
      <c r="E1285" s="9"/>
      <c r="J1285" s="13"/>
      <c r="K1285" s="13"/>
    </row>
    <row r="1286">
      <c r="A1286" s="9"/>
      <c r="B1286" s="14"/>
      <c r="C1286" s="14"/>
      <c r="D1286" s="9"/>
      <c r="E1286" s="9"/>
      <c r="J1286" s="13"/>
      <c r="K1286" s="13"/>
    </row>
    <row r="1287">
      <c r="A1287" s="9"/>
      <c r="B1287" s="14"/>
      <c r="C1287" s="14"/>
      <c r="D1287" s="9"/>
      <c r="E1287" s="9"/>
      <c r="J1287" s="13"/>
      <c r="K1287" s="13"/>
    </row>
    <row r="1288">
      <c r="A1288" s="9"/>
      <c r="B1288" s="14"/>
      <c r="C1288" s="14"/>
      <c r="D1288" s="9"/>
      <c r="E1288" s="9"/>
      <c r="J1288" s="13"/>
      <c r="K1288" s="13"/>
    </row>
    <row r="1289">
      <c r="A1289" s="9"/>
      <c r="B1289" s="14"/>
      <c r="C1289" s="14"/>
      <c r="D1289" s="9"/>
      <c r="E1289" s="9"/>
      <c r="J1289" s="13"/>
      <c r="K1289" s="13"/>
    </row>
    <row r="1290">
      <c r="A1290" s="9"/>
      <c r="B1290" s="14"/>
      <c r="C1290" s="14"/>
      <c r="D1290" s="9"/>
      <c r="E1290" s="9"/>
      <c r="J1290" s="13"/>
      <c r="K1290" s="13"/>
    </row>
    <row r="1291">
      <c r="A1291" s="9"/>
      <c r="B1291" s="14"/>
      <c r="C1291" s="14"/>
      <c r="D1291" s="9"/>
      <c r="E1291" s="9"/>
      <c r="J1291" s="13"/>
      <c r="K1291" s="13"/>
    </row>
    <row r="1292">
      <c r="A1292" s="9"/>
      <c r="B1292" s="14"/>
      <c r="C1292" s="14"/>
      <c r="D1292" s="9"/>
      <c r="E1292" s="9"/>
      <c r="J1292" s="13"/>
      <c r="K1292" s="13"/>
    </row>
    <row r="1293">
      <c r="A1293" s="9"/>
      <c r="B1293" s="14"/>
      <c r="C1293" s="14"/>
      <c r="D1293" s="9"/>
      <c r="E1293" s="9"/>
      <c r="J1293" s="13"/>
      <c r="K1293" s="13"/>
    </row>
    <row r="1294">
      <c r="A1294" s="9"/>
      <c r="B1294" s="14"/>
      <c r="C1294" s="14"/>
      <c r="D1294" s="9"/>
      <c r="E1294" s="9"/>
      <c r="J1294" s="13"/>
      <c r="K1294" s="13"/>
    </row>
    <row r="1295">
      <c r="A1295" s="9"/>
      <c r="B1295" s="14"/>
      <c r="C1295" s="14"/>
      <c r="D1295" s="9"/>
      <c r="E1295" s="9"/>
      <c r="J1295" s="13"/>
      <c r="K1295" s="13"/>
    </row>
    <row r="1296">
      <c r="A1296" s="9"/>
      <c r="B1296" s="14"/>
      <c r="C1296" s="14"/>
      <c r="D1296" s="9"/>
      <c r="E1296" s="9"/>
      <c r="J1296" s="13"/>
      <c r="K1296" s="13"/>
    </row>
    <row r="1297">
      <c r="A1297" s="9"/>
      <c r="B1297" s="14"/>
      <c r="C1297" s="14"/>
      <c r="D1297" s="9"/>
      <c r="E1297" s="9"/>
      <c r="J1297" s="13"/>
      <c r="K1297" s="13"/>
    </row>
    <row r="1298">
      <c r="A1298" s="9"/>
      <c r="B1298" s="14"/>
      <c r="C1298" s="14"/>
      <c r="D1298" s="9"/>
      <c r="E1298" s="9"/>
      <c r="J1298" s="13"/>
      <c r="K1298" s="13"/>
    </row>
    <row r="1299">
      <c r="A1299" s="9"/>
      <c r="B1299" s="14"/>
      <c r="C1299" s="14"/>
      <c r="D1299" s="9"/>
      <c r="E1299" s="9"/>
      <c r="J1299" s="13"/>
      <c r="K1299" s="13"/>
    </row>
    <row r="1300">
      <c r="A1300" s="9"/>
      <c r="B1300" s="14"/>
      <c r="C1300" s="14"/>
      <c r="D1300" s="9"/>
      <c r="E1300" s="9"/>
      <c r="J1300" s="13"/>
      <c r="K1300" s="13"/>
    </row>
    <row r="1301">
      <c r="A1301" s="9"/>
      <c r="B1301" s="14"/>
      <c r="C1301" s="14"/>
      <c r="D1301" s="9"/>
      <c r="E1301" s="9"/>
      <c r="J1301" s="13"/>
      <c r="K1301" s="13"/>
    </row>
    <row r="1302">
      <c r="A1302" s="9"/>
      <c r="B1302" s="14"/>
      <c r="C1302" s="14"/>
      <c r="D1302" s="9"/>
      <c r="E1302" s="9"/>
      <c r="J1302" s="13"/>
      <c r="K1302" s="13"/>
    </row>
    <row r="1303">
      <c r="A1303" s="9"/>
      <c r="B1303" s="14"/>
      <c r="C1303" s="14"/>
      <c r="D1303" s="9"/>
      <c r="E1303" s="9"/>
      <c r="J1303" s="13"/>
      <c r="K1303" s="13"/>
    </row>
    <row r="1304">
      <c r="A1304" s="9"/>
      <c r="B1304" s="14"/>
      <c r="C1304" s="14"/>
      <c r="D1304" s="9"/>
      <c r="E1304" s="9"/>
      <c r="J1304" s="13"/>
      <c r="K1304" s="13"/>
    </row>
    <row r="1305">
      <c r="A1305" s="9"/>
      <c r="B1305" s="14"/>
      <c r="C1305" s="14"/>
      <c r="D1305" s="9"/>
      <c r="E1305" s="9"/>
      <c r="J1305" s="13"/>
      <c r="K1305" s="13"/>
    </row>
    <row r="1306">
      <c r="A1306" s="9"/>
      <c r="B1306" s="14"/>
      <c r="C1306" s="14"/>
      <c r="D1306" s="9"/>
      <c r="E1306" s="9"/>
      <c r="J1306" s="13"/>
      <c r="K1306" s="13"/>
    </row>
    <row r="1307">
      <c r="A1307" s="9"/>
      <c r="B1307" s="14"/>
      <c r="C1307" s="14"/>
      <c r="D1307" s="9"/>
      <c r="E1307" s="9"/>
      <c r="J1307" s="13"/>
      <c r="K1307" s="13"/>
    </row>
    <row r="1308">
      <c r="A1308" s="9"/>
      <c r="B1308" s="14"/>
      <c r="C1308" s="14"/>
      <c r="D1308" s="9"/>
      <c r="E1308" s="9"/>
      <c r="J1308" s="13"/>
      <c r="K1308" s="13"/>
    </row>
    <row r="1309">
      <c r="A1309" s="9"/>
      <c r="B1309" s="14"/>
      <c r="C1309" s="14"/>
      <c r="D1309" s="9"/>
      <c r="E1309" s="9"/>
      <c r="J1309" s="13"/>
      <c r="K1309" s="13"/>
    </row>
    <row r="1310">
      <c r="A1310" s="9"/>
      <c r="B1310" s="14"/>
      <c r="C1310" s="14"/>
      <c r="D1310" s="9"/>
      <c r="E1310" s="9"/>
      <c r="J1310" s="13"/>
      <c r="K1310" s="13"/>
    </row>
    <row r="1311">
      <c r="A1311" s="9"/>
      <c r="B1311" s="14"/>
      <c r="C1311" s="14"/>
      <c r="D1311" s="9"/>
      <c r="E1311" s="9"/>
      <c r="J1311" s="13"/>
      <c r="K1311" s="13"/>
    </row>
    <row r="1312">
      <c r="A1312" s="9"/>
      <c r="B1312" s="14"/>
      <c r="C1312" s="14"/>
      <c r="D1312" s="9"/>
      <c r="E1312" s="9"/>
      <c r="J1312" s="13"/>
      <c r="K1312" s="13"/>
    </row>
    <row r="1313">
      <c r="A1313" s="9"/>
      <c r="B1313" s="14"/>
      <c r="C1313" s="14"/>
      <c r="D1313" s="9"/>
      <c r="E1313" s="9"/>
      <c r="J1313" s="13"/>
      <c r="K1313" s="13"/>
    </row>
    <row r="1314">
      <c r="A1314" s="9"/>
      <c r="B1314" s="14"/>
      <c r="C1314" s="14"/>
      <c r="D1314" s="9"/>
      <c r="E1314" s="9"/>
      <c r="J1314" s="13"/>
      <c r="K1314" s="13"/>
    </row>
    <row r="1315">
      <c r="A1315" s="9"/>
      <c r="B1315" s="14"/>
      <c r="C1315" s="14"/>
      <c r="D1315" s="9"/>
      <c r="E1315" s="9"/>
      <c r="J1315" s="13"/>
      <c r="K1315" s="13"/>
    </row>
    <row r="1316">
      <c r="A1316" s="9"/>
      <c r="B1316" s="14"/>
      <c r="C1316" s="14"/>
      <c r="D1316" s="9"/>
      <c r="E1316" s="9"/>
      <c r="J1316" s="13"/>
      <c r="K1316" s="13"/>
    </row>
    <row r="1317">
      <c r="A1317" s="9"/>
      <c r="B1317" s="14"/>
      <c r="C1317" s="14"/>
      <c r="D1317" s="9"/>
      <c r="E1317" s="9"/>
      <c r="J1317" s="13"/>
      <c r="K1317" s="13"/>
    </row>
    <row r="1318">
      <c r="A1318" s="9"/>
      <c r="B1318" s="14"/>
      <c r="C1318" s="14"/>
      <c r="D1318" s="9"/>
      <c r="E1318" s="9"/>
      <c r="J1318" s="13"/>
      <c r="K1318" s="13"/>
    </row>
    <row r="1319">
      <c r="A1319" s="9"/>
      <c r="B1319" s="14"/>
      <c r="C1319" s="14"/>
      <c r="D1319" s="9"/>
      <c r="E1319" s="9"/>
      <c r="J1319" s="13"/>
      <c r="K1319" s="13"/>
    </row>
    <row r="1320">
      <c r="A1320" s="9"/>
      <c r="B1320" s="14"/>
      <c r="C1320" s="14"/>
      <c r="D1320" s="9"/>
      <c r="E1320" s="9"/>
      <c r="J1320" s="13"/>
      <c r="K1320" s="13"/>
    </row>
    <row r="1321">
      <c r="A1321" s="9"/>
      <c r="B1321" s="14"/>
      <c r="C1321" s="14"/>
      <c r="D1321" s="9"/>
      <c r="E1321" s="9"/>
      <c r="J1321" s="13"/>
      <c r="K1321" s="13"/>
    </row>
    <row r="1322">
      <c r="A1322" s="9"/>
      <c r="B1322" s="14"/>
      <c r="C1322" s="14"/>
      <c r="D1322" s="9"/>
      <c r="E1322" s="9"/>
      <c r="J1322" s="13"/>
      <c r="K1322" s="13"/>
    </row>
    <row r="1323">
      <c r="A1323" s="9"/>
      <c r="B1323" s="14"/>
      <c r="C1323" s="14"/>
      <c r="D1323" s="9"/>
      <c r="E1323" s="9"/>
      <c r="J1323" s="13"/>
      <c r="K1323" s="13"/>
    </row>
    <row r="1324">
      <c r="A1324" s="9"/>
      <c r="B1324" s="14"/>
      <c r="C1324" s="14"/>
      <c r="D1324" s="9"/>
      <c r="E1324" s="9"/>
      <c r="J1324" s="13"/>
      <c r="K1324" s="13"/>
    </row>
    <row r="1325">
      <c r="A1325" s="9"/>
      <c r="B1325" s="14"/>
      <c r="C1325" s="14"/>
      <c r="D1325" s="9"/>
      <c r="E1325" s="9"/>
      <c r="J1325" s="13"/>
      <c r="K1325" s="13"/>
    </row>
    <row r="1326">
      <c r="A1326" s="9"/>
      <c r="B1326" s="14"/>
      <c r="C1326" s="14"/>
      <c r="D1326" s="9"/>
      <c r="E1326" s="9"/>
      <c r="J1326" s="13"/>
      <c r="K1326" s="13"/>
    </row>
    <row r="1327">
      <c r="A1327" s="9"/>
      <c r="B1327" s="14"/>
      <c r="C1327" s="14"/>
      <c r="D1327" s="9"/>
      <c r="E1327" s="9"/>
      <c r="J1327" s="13"/>
      <c r="K1327" s="13"/>
    </row>
    <row r="1328">
      <c r="A1328" s="9"/>
      <c r="B1328" s="14"/>
      <c r="C1328" s="14"/>
      <c r="D1328" s="9"/>
      <c r="E1328" s="9"/>
      <c r="J1328" s="13"/>
      <c r="K1328" s="13"/>
    </row>
    <row r="1329">
      <c r="A1329" s="9"/>
      <c r="B1329" s="14"/>
      <c r="C1329" s="14"/>
      <c r="D1329" s="9"/>
      <c r="E1329" s="9"/>
      <c r="J1329" s="13"/>
      <c r="K1329" s="13"/>
    </row>
    <row r="1330">
      <c r="A1330" s="9"/>
      <c r="B1330" s="14"/>
      <c r="C1330" s="14"/>
      <c r="D1330" s="9"/>
      <c r="E1330" s="9"/>
      <c r="J1330" s="13"/>
      <c r="K1330" s="13"/>
    </row>
    <row r="1331">
      <c r="A1331" s="9"/>
      <c r="B1331" s="14"/>
      <c r="C1331" s="14"/>
      <c r="D1331" s="9"/>
      <c r="E1331" s="9"/>
      <c r="J1331" s="13"/>
      <c r="K1331" s="13"/>
    </row>
    <row r="1332">
      <c r="A1332" s="9"/>
      <c r="B1332" s="14"/>
      <c r="C1332" s="14"/>
      <c r="D1332" s="9"/>
      <c r="E1332" s="9"/>
      <c r="J1332" s="13"/>
      <c r="K1332" s="13"/>
    </row>
    <row r="1333">
      <c r="A1333" s="9"/>
      <c r="B1333" s="14"/>
      <c r="C1333" s="14"/>
      <c r="D1333" s="9"/>
      <c r="E1333" s="9"/>
      <c r="J1333" s="13"/>
      <c r="K1333" s="13"/>
    </row>
    <row r="1334">
      <c r="A1334" s="9"/>
      <c r="B1334" s="14"/>
      <c r="C1334" s="14"/>
      <c r="D1334" s="9"/>
      <c r="E1334" s="9"/>
      <c r="J1334" s="13"/>
      <c r="K1334" s="13"/>
    </row>
    <row r="1335">
      <c r="A1335" s="9"/>
      <c r="B1335" s="14"/>
      <c r="C1335" s="14"/>
      <c r="D1335" s="9"/>
      <c r="E1335" s="9"/>
      <c r="J1335" s="13"/>
      <c r="K1335" s="13"/>
    </row>
    <row r="1336">
      <c r="A1336" s="9"/>
      <c r="B1336" s="14"/>
      <c r="C1336" s="14"/>
      <c r="D1336" s="9"/>
      <c r="E1336" s="9"/>
      <c r="J1336" s="13"/>
      <c r="K1336" s="13"/>
    </row>
    <row r="1337">
      <c r="A1337" s="9"/>
      <c r="B1337" s="14"/>
      <c r="C1337" s="14"/>
      <c r="D1337" s="9"/>
      <c r="E1337" s="9"/>
      <c r="J1337" s="13"/>
      <c r="K1337" s="13"/>
    </row>
    <row r="1338">
      <c r="A1338" s="9"/>
      <c r="B1338" s="14"/>
      <c r="C1338" s="14"/>
      <c r="D1338" s="9"/>
      <c r="E1338" s="9"/>
      <c r="J1338" s="13"/>
      <c r="K1338" s="13"/>
    </row>
    <row r="1339">
      <c r="A1339" s="9"/>
      <c r="B1339" s="14"/>
      <c r="C1339" s="14"/>
      <c r="D1339" s="9"/>
      <c r="E1339" s="9"/>
      <c r="J1339" s="13"/>
      <c r="K1339" s="13"/>
    </row>
    <row r="1340">
      <c r="A1340" s="9"/>
      <c r="B1340" s="14"/>
      <c r="C1340" s="14"/>
      <c r="D1340" s="9"/>
      <c r="E1340" s="9"/>
      <c r="J1340" s="13"/>
      <c r="K1340" s="13"/>
    </row>
    <row r="1341">
      <c r="A1341" s="9"/>
      <c r="B1341" s="14"/>
      <c r="C1341" s="14"/>
      <c r="D1341" s="9"/>
      <c r="E1341" s="9"/>
      <c r="J1341" s="13"/>
      <c r="K1341" s="13"/>
    </row>
    <row r="1342">
      <c r="A1342" s="9"/>
      <c r="B1342" s="14"/>
      <c r="C1342" s="14"/>
      <c r="D1342" s="9"/>
      <c r="E1342" s="9"/>
      <c r="J1342" s="13"/>
      <c r="K1342" s="13"/>
    </row>
    <row r="1343">
      <c r="A1343" s="9"/>
      <c r="B1343" s="14"/>
      <c r="C1343" s="14"/>
      <c r="D1343" s="9"/>
      <c r="E1343" s="9"/>
      <c r="J1343" s="13"/>
      <c r="K1343" s="13"/>
    </row>
    <row r="1344">
      <c r="A1344" s="9"/>
      <c r="B1344" s="14"/>
      <c r="C1344" s="14"/>
      <c r="D1344" s="9"/>
      <c r="E1344" s="9"/>
      <c r="J1344" s="13"/>
      <c r="K1344" s="13"/>
    </row>
    <row r="1345">
      <c r="A1345" s="9"/>
      <c r="B1345" s="14"/>
      <c r="C1345" s="14"/>
      <c r="D1345" s="9"/>
      <c r="E1345" s="9"/>
      <c r="J1345" s="13"/>
      <c r="K1345" s="13"/>
    </row>
    <row r="1346">
      <c r="A1346" s="9"/>
      <c r="B1346" s="14"/>
      <c r="C1346" s="14"/>
      <c r="D1346" s="9"/>
      <c r="E1346" s="9"/>
      <c r="J1346" s="13"/>
      <c r="K1346" s="13"/>
    </row>
    <row r="1347">
      <c r="A1347" s="9"/>
      <c r="B1347" s="14"/>
      <c r="C1347" s="14"/>
      <c r="D1347" s="9"/>
      <c r="E1347" s="9"/>
      <c r="J1347" s="13"/>
      <c r="K1347" s="13"/>
    </row>
    <row r="1348">
      <c r="A1348" s="9"/>
      <c r="B1348" s="14"/>
      <c r="C1348" s="14"/>
      <c r="D1348" s="9"/>
      <c r="E1348" s="9"/>
      <c r="J1348" s="13"/>
      <c r="K1348" s="13"/>
    </row>
    <row r="1349">
      <c r="A1349" s="9"/>
      <c r="B1349" s="14"/>
      <c r="C1349" s="14"/>
      <c r="D1349" s="9"/>
      <c r="E1349" s="9"/>
      <c r="J1349" s="13"/>
      <c r="K1349" s="13"/>
    </row>
    <row r="1350">
      <c r="A1350" s="9"/>
      <c r="B1350" s="14"/>
      <c r="C1350" s="14"/>
      <c r="D1350" s="9"/>
      <c r="E1350" s="9"/>
      <c r="J1350" s="13"/>
      <c r="K1350" s="13"/>
    </row>
    <row r="1351">
      <c r="A1351" s="9"/>
      <c r="B1351" s="14"/>
      <c r="C1351" s="14"/>
      <c r="D1351" s="9"/>
      <c r="E1351" s="9"/>
      <c r="J1351" s="13"/>
      <c r="K1351" s="13"/>
    </row>
    <row r="1352">
      <c r="A1352" s="9"/>
      <c r="B1352" s="14"/>
      <c r="C1352" s="14"/>
      <c r="D1352" s="9"/>
      <c r="E1352" s="9"/>
      <c r="J1352" s="13"/>
      <c r="K1352" s="13"/>
    </row>
    <row r="1353">
      <c r="A1353" s="9"/>
      <c r="B1353" s="14"/>
      <c r="C1353" s="14"/>
      <c r="D1353" s="9"/>
      <c r="E1353" s="9"/>
      <c r="J1353" s="13"/>
      <c r="K1353" s="13"/>
    </row>
    <row r="1354">
      <c r="A1354" s="9"/>
      <c r="B1354" s="14"/>
      <c r="C1354" s="14"/>
      <c r="D1354" s="9"/>
      <c r="E1354" s="9"/>
      <c r="J1354" s="13"/>
      <c r="K1354" s="13"/>
    </row>
    <row r="1355">
      <c r="A1355" s="9"/>
      <c r="B1355" s="14"/>
      <c r="C1355" s="14"/>
      <c r="D1355" s="9"/>
      <c r="E1355" s="9"/>
      <c r="J1355" s="13"/>
      <c r="K1355" s="13"/>
    </row>
    <row r="1356">
      <c r="A1356" s="9"/>
      <c r="B1356" s="14"/>
      <c r="C1356" s="14"/>
      <c r="D1356" s="9"/>
      <c r="E1356" s="9"/>
      <c r="J1356" s="13"/>
      <c r="K1356" s="13"/>
    </row>
    <row r="1357">
      <c r="A1357" s="9"/>
      <c r="B1357" s="14"/>
      <c r="C1357" s="14"/>
      <c r="D1357" s="9"/>
      <c r="E1357" s="9"/>
      <c r="J1357" s="13"/>
      <c r="K1357" s="13"/>
    </row>
    <row r="1358">
      <c r="A1358" s="9"/>
      <c r="B1358" s="14"/>
      <c r="C1358" s="14"/>
      <c r="D1358" s="9"/>
      <c r="E1358" s="9"/>
      <c r="J1358" s="13"/>
      <c r="K1358" s="13"/>
    </row>
    <row r="1359">
      <c r="A1359" s="9"/>
      <c r="B1359" s="14"/>
      <c r="C1359" s="14"/>
      <c r="D1359" s="9"/>
      <c r="E1359" s="9"/>
      <c r="J1359" s="13"/>
      <c r="K1359" s="13"/>
    </row>
    <row r="1360">
      <c r="A1360" s="9"/>
      <c r="B1360" s="14"/>
      <c r="C1360" s="14"/>
      <c r="D1360" s="9"/>
      <c r="E1360" s="9"/>
      <c r="J1360" s="13"/>
      <c r="K1360" s="13"/>
    </row>
    <row r="1361">
      <c r="A1361" s="9"/>
      <c r="B1361" s="14"/>
      <c r="C1361" s="14"/>
      <c r="D1361" s="9"/>
      <c r="E1361" s="9"/>
      <c r="J1361" s="13"/>
      <c r="K1361" s="13"/>
    </row>
    <row r="1362">
      <c r="A1362" s="9"/>
      <c r="B1362" s="14"/>
      <c r="C1362" s="14"/>
      <c r="D1362" s="9"/>
      <c r="E1362" s="9"/>
      <c r="J1362" s="13"/>
      <c r="K1362" s="13"/>
    </row>
    <row r="1363">
      <c r="A1363" s="9"/>
      <c r="B1363" s="14"/>
      <c r="C1363" s="14"/>
      <c r="D1363" s="9"/>
      <c r="E1363" s="9"/>
      <c r="J1363" s="13"/>
      <c r="K1363" s="13"/>
    </row>
    <row r="1364">
      <c r="A1364" s="9"/>
      <c r="B1364" s="14"/>
      <c r="C1364" s="14"/>
      <c r="D1364" s="9"/>
      <c r="E1364" s="9"/>
      <c r="J1364" s="13"/>
      <c r="K1364" s="13"/>
    </row>
    <row r="1365">
      <c r="A1365" s="9"/>
      <c r="B1365" s="14"/>
      <c r="C1365" s="14"/>
      <c r="D1365" s="9"/>
      <c r="E1365" s="9"/>
      <c r="J1365" s="13"/>
      <c r="K1365" s="13"/>
    </row>
    <row r="1366">
      <c r="A1366" s="9"/>
      <c r="B1366" s="14"/>
      <c r="C1366" s="14"/>
      <c r="D1366" s="9"/>
      <c r="E1366" s="9"/>
      <c r="J1366" s="13"/>
      <c r="K1366" s="13"/>
    </row>
    <row r="1367">
      <c r="A1367" s="9"/>
      <c r="B1367" s="14"/>
      <c r="C1367" s="14"/>
      <c r="D1367" s="9"/>
      <c r="E1367" s="9"/>
      <c r="J1367" s="13"/>
      <c r="K1367" s="13"/>
    </row>
    <row r="1368">
      <c r="A1368" s="9"/>
      <c r="B1368" s="14"/>
      <c r="C1368" s="14"/>
      <c r="D1368" s="9"/>
      <c r="E1368" s="9"/>
      <c r="J1368" s="13"/>
      <c r="K1368" s="13"/>
    </row>
    <row r="1369">
      <c r="A1369" s="9"/>
      <c r="B1369" s="14"/>
      <c r="C1369" s="14"/>
      <c r="D1369" s="9"/>
      <c r="E1369" s="9"/>
      <c r="J1369" s="13"/>
      <c r="K1369" s="13"/>
    </row>
    <row r="1370">
      <c r="A1370" s="9"/>
      <c r="B1370" s="14"/>
      <c r="C1370" s="14"/>
      <c r="D1370" s="9"/>
      <c r="E1370" s="9"/>
      <c r="J1370" s="13"/>
      <c r="K1370" s="13"/>
    </row>
    <row r="1371">
      <c r="A1371" s="9"/>
      <c r="B1371" s="14"/>
      <c r="C1371" s="14"/>
      <c r="D1371" s="9"/>
      <c r="E1371" s="9"/>
      <c r="J1371" s="13"/>
      <c r="K1371" s="13"/>
    </row>
    <row r="1372">
      <c r="A1372" s="9"/>
      <c r="B1372" s="14"/>
      <c r="C1372" s="14"/>
      <c r="D1372" s="9"/>
      <c r="E1372" s="9"/>
      <c r="J1372" s="13"/>
      <c r="K1372" s="13"/>
    </row>
    <row r="1373">
      <c r="A1373" s="9"/>
      <c r="B1373" s="14"/>
      <c r="C1373" s="14"/>
      <c r="D1373" s="9"/>
      <c r="E1373" s="9"/>
      <c r="J1373" s="13"/>
      <c r="K1373" s="13"/>
    </row>
    <row r="1374">
      <c r="A1374" s="9"/>
      <c r="B1374" s="14"/>
      <c r="C1374" s="14"/>
      <c r="D1374" s="9"/>
      <c r="E1374" s="9"/>
      <c r="J1374" s="13"/>
      <c r="K1374" s="13"/>
    </row>
    <row r="1375">
      <c r="A1375" s="9"/>
      <c r="B1375" s="14"/>
      <c r="C1375" s="14"/>
      <c r="D1375" s="9"/>
      <c r="E1375" s="9"/>
      <c r="J1375" s="13"/>
      <c r="K1375" s="13"/>
    </row>
    <row r="1376">
      <c r="A1376" s="9"/>
      <c r="B1376" s="14"/>
      <c r="C1376" s="14"/>
      <c r="D1376" s="9"/>
      <c r="E1376" s="9"/>
      <c r="J1376" s="13"/>
      <c r="K1376" s="13"/>
    </row>
    <row r="1377">
      <c r="A1377" s="9"/>
      <c r="B1377" s="14"/>
      <c r="C1377" s="14"/>
      <c r="D1377" s="9"/>
      <c r="E1377" s="9"/>
      <c r="J1377" s="13"/>
      <c r="K1377" s="13"/>
    </row>
    <row r="1378">
      <c r="A1378" s="9"/>
      <c r="B1378" s="14"/>
      <c r="C1378" s="14"/>
      <c r="D1378" s="9"/>
      <c r="E1378" s="9"/>
      <c r="J1378" s="13"/>
      <c r="K1378" s="13"/>
    </row>
    <row r="1379">
      <c r="A1379" s="9"/>
      <c r="B1379" s="14"/>
      <c r="C1379" s="14"/>
      <c r="D1379" s="9"/>
      <c r="E1379" s="9"/>
      <c r="J1379" s="13"/>
      <c r="K1379" s="13"/>
    </row>
    <row r="1380">
      <c r="A1380" s="9"/>
      <c r="B1380" s="14"/>
      <c r="C1380" s="14"/>
      <c r="D1380" s="9"/>
      <c r="E1380" s="9"/>
      <c r="J1380" s="13"/>
      <c r="K1380" s="13"/>
    </row>
    <row r="1381">
      <c r="A1381" s="9"/>
      <c r="B1381" s="14"/>
      <c r="C1381" s="14"/>
      <c r="D1381" s="9"/>
      <c r="E1381" s="9"/>
      <c r="J1381" s="13"/>
      <c r="K1381" s="13"/>
    </row>
    <row r="1382">
      <c r="A1382" s="9"/>
      <c r="B1382" s="14"/>
      <c r="C1382" s="14"/>
      <c r="D1382" s="9"/>
      <c r="E1382" s="9"/>
      <c r="J1382" s="13"/>
      <c r="K1382" s="13"/>
    </row>
    <row r="1383">
      <c r="A1383" s="9"/>
      <c r="B1383" s="14"/>
      <c r="C1383" s="14"/>
      <c r="D1383" s="9"/>
      <c r="E1383" s="9"/>
      <c r="J1383" s="13"/>
      <c r="K1383" s="13"/>
    </row>
    <row r="1384">
      <c r="A1384" s="9"/>
      <c r="B1384" s="14"/>
      <c r="C1384" s="14"/>
      <c r="D1384" s="9"/>
      <c r="E1384" s="9"/>
      <c r="J1384" s="13"/>
      <c r="K1384" s="13"/>
    </row>
    <row r="1385">
      <c r="A1385" s="9"/>
      <c r="B1385" s="14"/>
      <c r="C1385" s="14"/>
      <c r="D1385" s="9"/>
      <c r="E1385" s="9"/>
      <c r="J1385" s="13"/>
      <c r="K1385" s="13"/>
    </row>
    <row r="1386">
      <c r="A1386" s="9"/>
      <c r="B1386" s="14"/>
      <c r="C1386" s="14"/>
      <c r="D1386" s="9"/>
      <c r="E1386" s="9"/>
      <c r="J1386" s="13"/>
      <c r="K1386" s="13"/>
    </row>
    <row r="1387">
      <c r="A1387" s="9"/>
      <c r="B1387" s="14"/>
      <c r="C1387" s="14"/>
      <c r="D1387" s="9"/>
      <c r="E1387" s="9"/>
      <c r="J1387" s="13"/>
      <c r="K1387" s="13"/>
    </row>
    <row r="1388">
      <c r="A1388" s="9"/>
      <c r="B1388" s="14"/>
      <c r="C1388" s="14"/>
      <c r="D1388" s="9"/>
      <c r="E1388" s="9"/>
      <c r="J1388" s="13"/>
      <c r="K1388" s="13"/>
    </row>
    <row r="1389">
      <c r="A1389" s="9"/>
      <c r="B1389" s="14"/>
      <c r="C1389" s="14"/>
      <c r="D1389" s="9"/>
      <c r="E1389" s="9"/>
      <c r="J1389" s="13"/>
      <c r="K1389" s="13"/>
    </row>
    <row r="1390">
      <c r="A1390" s="9"/>
      <c r="B1390" s="14"/>
      <c r="C1390" s="14"/>
      <c r="D1390" s="9"/>
      <c r="E1390" s="9"/>
      <c r="J1390" s="13"/>
      <c r="K1390" s="13"/>
    </row>
    <row r="1391">
      <c r="A1391" s="9"/>
      <c r="B1391" s="14"/>
      <c r="C1391" s="14"/>
      <c r="D1391" s="9"/>
      <c r="E1391" s="9"/>
      <c r="J1391" s="13"/>
      <c r="K1391" s="13"/>
    </row>
    <row r="1392">
      <c r="A1392" s="9"/>
      <c r="B1392" s="14"/>
      <c r="C1392" s="14"/>
      <c r="D1392" s="9"/>
      <c r="E1392" s="9"/>
      <c r="J1392" s="13"/>
      <c r="K1392" s="13"/>
    </row>
    <row r="1393">
      <c r="A1393" s="9"/>
      <c r="B1393" s="14"/>
      <c r="C1393" s="14"/>
      <c r="D1393" s="9"/>
      <c r="E1393" s="9"/>
      <c r="J1393" s="13"/>
      <c r="K1393" s="13"/>
    </row>
    <row r="1394">
      <c r="A1394" s="9"/>
      <c r="B1394" s="14"/>
      <c r="C1394" s="14"/>
      <c r="D1394" s="9"/>
      <c r="E1394" s="9"/>
      <c r="J1394" s="13"/>
      <c r="K1394" s="13"/>
    </row>
    <row r="1395">
      <c r="A1395" s="9"/>
      <c r="B1395" s="14"/>
      <c r="C1395" s="14"/>
      <c r="D1395" s="9"/>
      <c r="E1395" s="9"/>
      <c r="J1395" s="13"/>
      <c r="K1395" s="13"/>
    </row>
    <row r="1396">
      <c r="A1396" s="9"/>
      <c r="B1396" s="14"/>
      <c r="C1396" s="14"/>
      <c r="D1396" s="9"/>
      <c r="E1396" s="9"/>
      <c r="J1396" s="13"/>
      <c r="K1396" s="13"/>
    </row>
    <row r="1397">
      <c r="A1397" s="9"/>
      <c r="B1397" s="14"/>
      <c r="C1397" s="14"/>
      <c r="D1397" s="9"/>
      <c r="E1397" s="9"/>
      <c r="J1397" s="13"/>
      <c r="K1397" s="13"/>
    </row>
    <row r="1398">
      <c r="A1398" s="9"/>
      <c r="B1398" s="14"/>
      <c r="C1398" s="14"/>
      <c r="D1398" s="9"/>
      <c r="E1398" s="9"/>
      <c r="J1398" s="13"/>
      <c r="K1398" s="13"/>
    </row>
    <row r="1399">
      <c r="A1399" s="9"/>
      <c r="B1399" s="14"/>
      <c r="C1399" s="14"/>
      <c r="D1399" s="9"/>
      <c r="E1399" s="9"/>
      <c r="J1399" s="13"/>
      <c r="K1399" s="13"/>
    </row>
    <row r="1400">
      <c r="A1400" s="9"/>
      <c r="B1400" s="14"/>
      <c r="C1400" s="14"/>
      <c r="D1400" s="9"/>
      <c r="E1400" s="9"/>
      <c r="J1400" s="13"/>
      <c r="K1400" s="13"/>
    </row>
    <row r="1401">
      <c r="A1401" s="9"/>
      <c r="B1401" s="14"/>
      <c r="C1401" s="14"/>
      <c r="D1401" s="9"/>
      <c r="E1401" s="9"/>
      <c r="J1401" s="13"/>
      <c r="K1401" s="13"/>
    </row>
    <row r="1402">
      <c r="A1402" s="9"/>
      <c r="B1402" s="14"/>
      <c r="C1402" s="14"/>
      <c r="D1402" s="9"/>
      <c r="E1402" s="9"/>
      <c r="J1402" s="13"/>
      <c r="K1402" s="13"/>
    </row>
    <row r="1403">
      <c r="A1403" s="9"/>
      <c r="B1403" s="14"/>
      <c r="C1403" s="14"/>
      <c r="D1403" s="9"/>
      <c r="E1403" s="9"/>
      <c r="J1403" s="13"/>
      <c r="K1403" s="13"/>
    </row>
    <row r="1404">
      <c r="A1404" s="9"/>
      <c r="B1404" s="14"/>
      <c r="C1404" s="14"/>
      <c r="D1404" s="9"/>
      <c r="E1404" s="9"/>
      <c r="J1404" s="13"/>
      <c r="K1404" s="13"/>
    </row>
    <row r="1405">
      <c r="A1405" s="9"/>
      <c r="B1405" s="14"/>
      <c r="C1405" s="14"/>
      <c r="D1405" s="9"/>
      <c r="E1405" s="9"/>
      <c r="J1405" s="13"/>
      <c r="K1405" s="13"/>
    </row>
    <row r="1406">
      <c r="A1406" s="9"/>
      <c r="B1406" s="14"/>
      <c r="C1406" s="14"/>
      <c r="D1406" s="9"/>
      <c r="E1406" s="9"/>
      <c r="J1406" s="13"/>
      <c r="K1406" s="13"/>
    </row>
    <row r="1407">
      <c r="A1407" s="9"/>
      <c r="B1407" s="14"/>
      <c r="C1407" s="14"/>
      <c r="D1407" s="9"/>
      <c r="E1407" s="9"/>
      <c r="J1407" s="13"/>
      <c r="K1407" s="13"/>
    </row>
    <row r="1408">
      <c r="A1408" s="9"/>
      <c r="B1408" s="14"/>
      <c r="C1408" s="14"/>
      <c r="D1408" s="9"/>
      <c r="E1408" s="9"/>
      <c r="J1408" s="13"/>
      <c r="K1408" s="13"/>
    </row>
    <row r="1409">
      <c r="A1409" s="9"/>
      <c r="B1409" s="14"/>
      <c r="C1409" s="14"/>
      <c r="D1409" s="9"/>
      <c r="E1409" s="9"/>
      <c r="J1409" s="13"/>
      <c r="K1409" s="13"/>
    </row>
    <row r="1410">
      <c r="A1410" s="9"/>
      <c r="B1410" s="14"/>
      <c r="C1410" s="14"/>
      <c r="D1410" s="9"/>
      <c r="E1410" s="9"/>
      <c r="J1410" s="13"/>
      <c r="K1410" s="13"/>
    </row>
    <row r="1411">
      <c r="A1411" s="9"/>
      <c r="B1411" s="14"/>
      <c r="C1411" s="14"/>
      <c r="D1411" s="9"/>
      <c r="E1411" s="9"/>
      <c r="J1411" s="13"/>
      <c r="K1411" s="13"/>
    </row>
    <row r="1412">
      <c r="A1412" s="9"/>
      <c r="B1412" s="14"/>
      <c r="C1412" s="14"/>
      <c r="D1412" s="9"/>
      <c r="E1412" s="9"/>
      <c r="J1412" s="13"/>
      <c r="K1412" s="13"/>
    </row>
    <row r="1413">
      <c r="A1413" s="9"/>
      <c r="B1413" s="14"/>
      <c r="C1413" s="14"/>
      <c r="D1413" s="9"/>
      <c r="E1413" s="9"/>
      <c r="J1413" s="13"/>
      <c r="K1413" s="13"/>
    </row>
    <row r="1414">
      <c r="A1414" s="9"/>
      <c r="B1414" s="14"/>
      <c r="C1414" s="14"/>
      <c r="D1414" s="9"/>
      <c r="E1414" s="9"/>
      <c r="J1414" s="13"/>
      <c r="K1414" s="13"/>
    </row>
    <row r="1415">
      <c r="A1415" s="9"/>
      <c r="B1415" s="14"/>
      <c r="C1415" s="14"/>
      <c r="D1415" s="9"/>
      <c r="E1415" s="9"/>
      <c r="J1415" s="13"/>
      <c r="K1415" s="13"/>
    </row>
    <row r="1416">
      <c r="A1416" s="9"/>
      <c r="B1416" s="14"/>
      <c r="C1416" s="14"/>
      <c r="D1416" s="9"/>
      <c r="E1416" s="9"/>
      <c r="J1416" s="13"/>
      <c r="K1416" s="13"/>
    </row>
    <row r="1417">
      <c r="A1417" s="9"/>
      <c r="B1417" s="14"/>
      <c r="C1417" s="14"/>
      <c r="D1417" s="9"/>
      <c r="E1417" s="9"/>
      <c r="J1417" s="13"/>
      <c r="K1417" s="13"/>
    </row>
    <row r="1418">
      <c r="A1418" s="9"/>
      <c r="B1418" s="14"/>
      <c r="C1418" s="14"/>
      <c r="D1418" s="9"/>
      <c r="E1418" s="9"/>
      <c r="J1418" s="13"/>
      <c r="K1418" s="13"/>
    </row>
    <row r="1419">
      <c r="A1419" s="9"/>
      <c r="B1419" s="14"/>
      <c r="C1419" s="14"/>
      <c r="D1419" s="9"/>
      <c r="E1419" s="9"/>
      <c r="J1419" s="13"/>
      <c r="K1419" s="13"/>
    </row>
    <row r="1420">
      <c r="A1420" s="9"/>
      <c r="B1420" s="14"/>
      <c r="C1420" s="14"/>
      <c r="D1420" s="9"/>
      <c r="E1420" s="9"/>
      <c r="J1420" s="13"/>
      <c r="K1420" s="13"/>
    </row>
    <row r="1421">
      <c r="A1421" s="9"/>
      <c r="B1421" s="14"/>
      <c r="C1421" s="14"/>
      <c r="D1421" s="9"/>
      <c r="E1421" s="9"/>
      <c r="J1421" s="13"/>
      <c r="K1421" s="13"/>
    </row>
    <row r="1422">
      <c r="A1422" s="9"/>
      <c r="B1422" s="14"/>
      <c r="C1422" s="14"/>
      <c r="D1422" s="9"/>
      <c r="E1422" s="9"/>
      <c r="J1422" s="13"/>
      <c r="K1422" s="13"/>
    </row>
    <row r="1423">
      <c r="A1423" s="9"/>
      <c r="B1423" s="14"/>
      <c r="C1423" s="14"/>
      <c r="D1423" s="9"/>
      <c r="E1423" s="9"/>
      <c r="J1423" s="13"/>
      <c r="K1423" s="13"/>
    </row>
    <row r="1424">
      <c r="A1424" s="9"/>
      <c r="B1424" s="14"/>
      <c r="C1424" s="14"/>
      <c r="D1424" s="9"/>
      <c r="E1424" s="9"/>
      <c r="J1424" s="13"/>
      <c r="K1424" s="13"/>
    </row>
    <row r="1425">
      <c r="A1425" s="9"/>
      <c r="B1425" s="14"/>
      <c r="C1425" s="14"/>
      <c r="D1425" s="9"/>
      <c r="E1425" s="9"/>
      <c r="J1425" s="13"/>
      <c r="K1425" s="13"/>
    </row>
    <row r="1426">
      <c r="A1426" s="9"/>
      <c r="B1426" s="14"/>
      <c r="C1426" s="14"/>
      <c r="D1426" s="9"/>
      <c r="E1426" s="9"/>
      <c r="J1426" s="13"/>
      <c r="K1426" s="13"/>
    </row>
    <row r="1427">
      <c r="A1427" s="9"/>
      <c r="B1427" s="14"/>
      <c r="C1427" s="14"/>
      <c r="D1427" s="9"/>
      <c r="E1427" s="9"/>
      <c r="J1427" s="13"/>
      <c r="K1427" s="13"/>
    </row>
    <row r="1428">
      <c r="A1428" s="9"/>
      <c r="B1428" s="14"/>
      <c r="C1428" s="14"/>
      <c r="D1428" s="9"/>
      <c r="E1428" s="9"/>
      <c r="J1428" s="13"/>
      <c r="K1428" s="13"/>
    </row>
    <row r="1429">
      <c r="A1429" s="9"/>
      <c r="B1429" s="14"/>
      <c r="C1429" s="14"/>
      <c r="D1429" s="9"/>
      <c r="E1429" s="9"/>
      <c r="J1429" s="13"/>
      <c r="K1429" s="13"/>
    </row>
    <row r="1430">
      <c r="A1430" s="9"/>
      <c r="B1430" s="14"/>
      <c r="C1430" s="14"/>
      <c r="D1430" s="9"/>
      <c r="E1430" s="9"/>
      <c r="J1430" s="13"/>
      <c r="K1430" s="13"/>
    </row>
    <row r="1431">
      <c r="A1431" s="9"/>
      <c r="B1431" s="14"/>
      <c r="C1431" s="14"/>
      <c r="D1431" s="9"/>
      <c r="E1431" s="9"/>
      <c r="J1431" s="13"/>
      <c r="K1431" s="13"/>
    </row>
    <row r="1432">
      <c r="A1432" s="9"/>
      <c r="B1432" s="14"/>
      <c r="C1432" s="14"/>
      <c r="D1432" s="9"/>
      <c r="E1432" s="9"/>
      <c r="J1432" s="13"/>
      <c r="K1432" s="13"/>
    </row>
    <row r="1433">
      <c r="A1433" s="9"/>
      <c r="B1433" s="14"/>
      <c r="C1433" s="14"/>
      <c r="D1433" s="9"/>
      <c r="E1433" s="9"/>
      <c r="J1433" s="13"/>
      <c r="K1433" s="13"/>
    </row>
    <row r="1434">
      <c r="A1434" s="9"/>
      <c r="B1434" s="14"/>
      <c r="C1434" s="14"/>
      <c r="D1434" s="9"/>
      <c r="E1434" s="9"/>
      <c r="J1434" s="13"/>
      <c r="K1434" s="13"/>
    </row>
    <row r="1435">
      <c r="A1435" s="9"/>
      <c r="B1435" s="14"/>
      <c r="C1435" s="14"/>
      <c r="D1435" s="9"/>
      <c r="E1435" s="9"/>
      <c r="J1435" s="13"/>
      <c r="K1435" s="13"/>
    </row>
    <row r="1436">
      <c r="A1436" s="9"/>
      <c r="B1436" s="14"/>
      <c r="C1436" s="14"/>
      <c r="D1436" s="9"/>
      <c r="E1436" s="9"/>
      <c r="J1436" s="13"/>
      <c r="K1436" s="13"/>
    </row>
    <row r="1437">
      <c r="A1437" s="9"/>
      <c r="B1437" s="14"/>
      <c r="C1437" s="14"/>
      <c r="D1437" s="9"/>
      <c r="E1437" s="9"/>
      <c r="J1437" s="13"/>
      <c r="K1437" s="13"/>
    </row>
    <row r="1438">
      <c r="A1438" s="9"/>
      <c r="B1438" s="14"/>
      <c r="C1438" s="14"/>
      <c r="D1438" s="9"/>
      <c r="E1438" s="9"/>
      <c r="J1438" s="13"/>
      <c r="K1438" s="13"/>
    </row>
    <row r="1439">
      <c r="A1439" s="9"/>
      <c r="B1439" s="14"/>
      <c r="C1439" s="14"/>
      <c r="D1439" s="9"/>
      <c r="E1439" s="9"/>
      <c r="J1439" s="13"/>
      <c r="K1439" s="13"/>
    </row>
    <row r="1440">
      <c r="A1440" s="9"/>
      <c r="B1440" s="14"/>
      <c r="C1440" s="14"/>
      <c r="D1440" s="9"/>
      <c r="E1440" s="9"/>
      <c r="J1440" s="13"/>
      <c r="K1440" s="13"/>
    </row>
    <row r="1441">
      <c r="A1441" s="9"/>
      <c r="B1441" s="14"/>
      <c r="C1441" s="14"/>
      <c r="D1441" s="9"/>
      <c r="E1441" s="9"/>
      <c r="J1441" s="13"/>
      <c r="K1441" s="13"/>
    </row>
    <row r="1442">
      <c r="A1442" s="9"/>
      <c r="B1442" s="14"/>
      <c r="C1442" s="14"/>
      <c r="D1442" s="9"/>
      <c r="E1442" s="9"/>
      <c r="J1442" s="13"/>
      <c r="K1442" s="13"/>
    </row>
    <row r="1443">
      <c r="A1443" s="9"/>
      <c r="B1443" s="14"/>
      <c r="C1443" s="14"/>
      <c r="D1443" s="9"/>
      <c r="E1443" s="9"/>
      <c r="J1443" s="13"/>
      <c r="K1443" s="13"/>
    </row>
    <row r="1444">
      <c r="A1444" s="9"/>
      <c r="B1444" s="14"/>
      <c r="C1444" s="14"/>
      <c r="D1444" s="9"/>
      <c r="E1444" s="9"/>
      <c r="J1444" s="13"/>
      <c r="K1444" s="13"/>
    </row>
    <row r="1445">
      <c r="A1445" s="9"/>
      <c r="B1445" s="14"/>
      <c r="C1445" s="14"/>
      <c r="D1445" s="9"/>
      <c r="E1445" s="9"/>
      <c r="J1445" s="13"/>
      <c r="K1445" s="13"/>
    </row>
    <row r="1446">
      <c r="A1446" s="9"/>
      <c r="B1446" s="14"/>
      <c r="C1446" s="14"/>
      <c r="D1446" s="9"/>
      <c r="E1446" s="9"/>
      <c r="J1446" s="13"/>
      <c r="K1446" s="13"/>
    </row>
    <row r="1447">
      <c r="A1447" s="9"/>
      <c r="B1447" s="14"/>
      <c r="C1447" s="14"/>
      <c r="D1447" s="9"/>
      <c r="E1447" s="9"/>
      <c r="J1447" s="13"/>
      <c r="K1447" s="13"/>
    </row>
    <row r="1448">
      <c r="A1448" s="9"/>
      <c r="B1448" s="14"/>
      <c r="C1448" s="14"/>
      <c r="D1448" s="9"/>
      <c r="E1448" s="9"/>
      <c r="J1448" s="13"/>
      <c r="K1448" s="13"/>
    </row>
    <row r="1449">
      <c r="A1449" s="9"/>
      <c r="B1449" s="14"/>
      <c r="C1449" s="14"/>
      <c r="D1449" s="9"/>
      <c r="E1449" s="9"/>
      <c r="J1449" s="13"/>
      <c r="K1449" s="13"/>
    </row>
    <row r="1450">
      <c r="A1450" s="9"/>
      <c r="B1450" s="14"/>
      <c r="C1450" s="14"/>
      <c r="D1450" s="9"/>
      <c r="E1450" s="9"/>
      <c r="J1450" s="13"/>
      <c r="K1450" s="13"/>
    </row>
    <row r="1451">
      <c r="A1451" s="9"/>
      <c r="B1451" s="14"/>
      <c r="C1451" s="14"/>
      <c r="D1451" s="9"/>
      <c r="E1451" s="9"/>
      <c r="J1451" s="13"/>
      <c r="K1451" s="13"/>
    </row>
    <row r="1452">
      <c r="A1452" s="9"/>
      <c r="B1452" s="14"/>
      <c r="C1452" s="14"/>
      <c r="D1452" s="9"/>
      <c r="E1452" s="9"/>
      <c r="J1452" s="13"/>
      <c r="K1452" s="13"/>
    </row>
    <row r="1453">
      <c r="A1453" s="9"/>
      <c r="B1453" s="14"/>
      <c r="C1453" s="14"/>
      <c r="D1453" s="9"/>
      <c r="E1453" s="9"/>
      <c r="J1453" s="13"/>
      <c r="K1453" s="13"/>
    </row>
    <row r="1454">
      <c r="A1454" s="9"/>
      <c r="B1454" s="14"/>
      <c r="C1454" s="14"/>
      <c r="D1454" s="9"/>
      <c r="E1454" s="9"/>
      <c r="J1454" s="13"/>
      <c r="K1454" s="13"/>
    </row>
    <row r="1455">
      <c r="A1455" s="9"/>
      <c r="B1455" s="14"/>
      <c r="C1455" s="14"/>
      <c r="D1455" s="9"/>
      <c r="E1455" s="9"/>
      <c r="J1455" s="13"/>
      <c r="K1455" s="13"/>
    </row>
    <row r="1456">
      <c r="A1456" s="9"/>
      <c r="B1456" s="14"/>
      <c r="C1456" s="14"/>
      <c r="D1456" s="9"/>
      <c r="E1456" s="9"/>
      <c r="J1456" s="13"/>
      <c r="K1456" s="13"/>
    </row>
    <row r="1457">
      <c r="A1457" s="9"/>
      <c r="B1457" s="14"/>
      <c r="C1457" s="14"/>
      <c r="D1457" s="9"/>
      <c r="E1457" s="9"/>
      <c r="J1457" s="13"/>
      <c r="K1457" s="13"/>
    </row>
    <row r="1458">
      <c r="A1458" s="9"/>
      <c r="B1458" s="14"/>
      <c r="C1458" s="14"/>
      <c r="D1458" s="9"/>
      <c r="E1458" s="9"/>
      <c r="J1458" s="13"/>
      <c r="K1458" s="13"/>
    </row>
    <row r="1459">
      <c r="A1459" s="9"/>
      <c r="B1459" s="14"/>
      <c r="C1459" s="14"/>
      <c r="D1459" s="9"/>
      <c r="E1459" s="9"/>
      <c r="J1459" s="13"/>
      <c r="K1459" s="13"/>
    </row>
    <row r="1460">
      <c r="A1460" s="9"/>
      <c r="B1460" s="14"/>
      <c r="C1460" s="14"/>
      <c r="D1460" s="9"/>
      <c r="E1460" s="9"/>
      <c r="J1460" s="13"/>
      <c r="K1460" s="13"/>
    </row>
    <row r="1461">
      <c r="A1461" s="9"/>
      <c r="B1461" s="14"/>
      <c r="C1461" s="14"/>
      <c r="D1461" s="9"/>
      <c r="E1461" s="9"/>
      <c r="J1461" s="13"/>
      <c r="K1461" s="13"/>
    </row>
    <row r="1462">
      <c r="A1462" s="9"/>
      <c r="B1462" s="14"/>
      <c r="C1462" s="14"/>
      <c r="D1462" s="9"/>
      <c r="E1462" s="9"/>
      <c r="J1462" s="13"/>
      <c r="K1462" s="13"/>
    </row>
    <row r="1463">
      <c r="A1463" s="9"/>
      <c r="B1463" s="14"/>
      <c r="C1463" s="14"/>
      <c r="D1463" s="9"/>
      <c r="E1463" s="9"/>
      <c r="J1463" s="13"/>
      <c r="K1463" s="13"/>
    </row>
    <row r="1464">
      <c r="A1464" s="9"/>
      <c r="B1464" s="14"/>
      <c r="C1464" s="14"/>
      <c r="D1464" s="9"/>
      <c r="E1464" s="9"/>
      <c r="J1464" s="13"/>
      <c r="K1464" s="13"/>
    </row>
    <row r="1465">
      <c r="A1465" s="9"/>
      <c r="B1465" s="14"/>
      <c r="C1465" s="14"/>
      <c r="D1465" s="9"/>
      <c r="E1465" s="9"/>
      <c r="J1465" s="13"/>
      <c r="K1465" s="13"/>
    </row>
    <row r="1466">
      <c r="A1466" s="9"/>
      <c r="B1466" s="14"/>
      <c r="C1466" s="14"/>
      <c r="D1466" s="9"/>
      <c r="E1466" s="9"/>
      <c r="J1466" s="13"/>
      <c r="K1466" s="13"/>
    </row>
    <row r="1467">
      <c r="A1467" s="9"/>
      <c r="B1467" s="14"/>
      <c r="C1467" s="14"/>
      <c r="D1467" s="9"/>
      <c r="E1467" s="9"/>
      <c r="J1467" s="13"/>
      <c r="K1467" s="13"/>
    </row>
    <row r="1468">
      <c r="A1468" s="9"/>
      <c r="B1468" s="14"/>
      <c r="C1468" s="14"/>
      <c r="D1468" s="9"/>
      <c r="E1468" s="9"/>
      <c r="J1468" s="13"/>
      <c r="K1468" s="13"/>
    </row>
    <row r="1469">
      <c r="A1469" s="9"/>
      <c r="B1469" s="14"/>
      <c r="C1469" s="14"/>
      <c r="D1469" s="9"/>
      <c r="E1469" s="9"/>
      <c r="J1469" s="13"/>
      <c r="K1469" s="13"/>
    </row>
    <row r="1470">
      <c r="A1470" s="9"/>
      <c r="B1470" s="14"/>
      <c r="C1470" s="14"/>
      <c r="D1470" s="9"/>
      <c r="E1470" s="9"/>
      <c r="J1470" s="13"/>
      <c r="K1470" s="13"/>
    </row>
    <row r="1471">
      <c r="A1471" s="9"/>
      <c r="B1471" s="14"/>
      <c r="C1471" s="14"/>
      <c r="D1471" s="9"/>
      <c r="E1471" s="9"/>
      <c r="J1471" s="13"/>
      <c r="K1471" s="13"/>
    </row>
    <row r="1472">
      <c r="A1472" s="9"/>
      <c r="B1472" s="14"/>
      <c r="C1472" s="14"/>
      <c r="D1472" s="9"/>
      <c r="E1472" s="9"/>
      <c r="J1472" s="13"/>
      <c r="K1472" s="13"/>
    </row>
    <row r="1473">
      <c r="A1473" s="9"/>
      <c r="B1473" s="14"/>
      <c r="C1473" s="14"/>
      <c r="D1473" s="9"/>
      <c r="E1473" s="9"/>
      <c r="J1473" s="13"/>
      <c r="K1473" s="13"/>
    </row>
    <row r="1474">
      <c r="A1474" s="9"/>
      <c r="B1474" s="14"/>
      <c r="C1474" s="14"/>
      <c r="D1474" s="9"/>
      <c r="E1474" s="9"/>
      <c r="J1474" s="13"/>
      <c r="K1474" s="13"/>
    </row>
    <row r="1475">
      <c r="A1475" s="9"/>
      <c r="B1475" s="14"/>
      <c r="C1475" s="14"/>
      <c r="D1475" s="9"/>
      <c r="E1475" s="9"/>
      <c r="J1475" s="13"/>
      <c r="K1475" s="13"/>
    </row>
    <row r="1476">
      <c r="A1476" s="9"/>
      <c r="B1476" s="14"/>
      <c r="C1476" s="14"/>
      <c r="D1476" s="9"/>
      <c r="E1476" s="9"/>
      <c r="J1476" s="13"/>
      <c r="K1476" s="13"/>
    </row>
    <row r="1477">
      <c r="A1477" s="9"/>
      <c r="B1477" s="14"/>
      <c r="C1477" s="14"/>
      <c r="D1477" s="9"/>
      <c r="E1477" s="9"/>
      <c r="J1477" s="13"/>
      <c r="K1477" s="13"/>
    </row>
    <row r="1478">
      <c r="A1478" s="9"/>
      <c r="B1478" s="14"/>
      <c r="C1478" s="14"/>
      <c r="D1478" s="9"/>
      <c r="E1478" s="9"/>
      <c r="J1478" s="13"/>
      <c r="K1478" s="13"/>
    </row>
    <row r="1479">
      <c r="A1479" s="9"/>
      <c r="B1479" s="14"/>
      <c r="C1479" s="14"/>
      <c r="D1479" s="9"/>
      <c r="E1479" s="9"/>
      <c r="J1479" s="13"/>
      <c r="K1479" s="13"/>
    </row>
    <row r="1480">
      <c r="A1480" s="9"/>
      <c r="B1480" s="14"/>
      <c r="C1480" s="14"/>
      <c r="D1480" s="9"/>
      <c r="E1480" s="9"/>
      <c r="J1480" s="13"/>
      <c r="K1480" s="13"/>
    </row>
    <row r="1481">
      <c r="A1481" s="9"/>
      <c r="B1481" s="14"/>
      <c r="C1481" s="14"/>
      <c r="D1481" s="9"/>
      <c r="E1481" s="9"/>
      <c r="J1481" s="13"/>
      <c r="K1481" s="13"/>
    </row>
    <row r="1482">
      <c r="A1482" s="9"/>
      <c r="B1482" s="14"/>
      <c r="C1482" s="14"/>
      <c r="D1482" s="9"/>
      <c r="E1482" s="9"/>
      <c r="J1482" s="13"/>
      <c r="K1482" s="13"/>
    </row>
    <row r="1483">
      <c r="A1483" s="9"/>
      <c r="B1483" s="14"/>
      <c r="C1483" s="14"/>
      <c r="D1483" s="9"/>
      <c r="E1483" s="9"/>
      <c r="J1483" s="13"/>
      <c r="K1483" s="13"/>
    </row>
    <row r="1484">
      <c r="A1484" s="9"/>
      <c r="B1484" s="14"/>
      <c r="C1484" s="14"/>
      <c r="D1484" s="9"/>
      <c r="E1484" s="9"/>
      <c r="J1484" s="13"/>
      <c r="K1484" s="13"/>
    </row>
    <row r="1485">
      <c r="A1485" s="9"/>
      <c r="B1485" s="14"/>
      <c r="C1485" s="14"/>
      <c r="D1485" s="9"/>
      <c r="E1485" s="9"/>
      <c r="J1485" s="13"/>
      <c r="K1485" s="13"/>
    </row>
    <row r="1486">
      <c r="A1486" s="9"/>
      <c r="B1486" s="14"/>
      <c r="C1486" s="14"/>
      <c r="D1486" s="9"/>
      <c r="E1486" s="9"/>
      <c r="J1486" s="13"/>
      <c r="K1486" s="13"/>
    </row>
    <row r="1487">
      <c r="A1487" s="9"/>
      <c r="B1487" s="14"/>
      <c r="C1487" s="14"/>
      <c r="D1487" s="9"/>
      <c r="E1487" s="9"/>
      <c r="J1487" s="13"/>
      <c r="K1487" s="13"/>
    </row>
    <row r="1488">
      <c r="A1488" s="9"/>
      <c r="B1488" s="14"/>
      <c r="C1488" s="14"/>
      <c r="D1488" s="9"/>
      <c r="E1488" s="9"/>
      <c r="J1488" s="13"/>
      <c r="K1488" s="13"/>
    </row>
    <row r="1489">
      <c r="A1489" s="9"/>
      <c r="B1489" s="14"/>
      <c r="C1489" s="14"/>
      <c r="D1489" s="9"/>
      <c r="E1489" s="9"/>
      <c r="J1489" s="13"/>
      <c r="K1489" s="13"/>
    </row>
    <row r="1490">
      <c r="A1490" s="9"/>
      <c r="B1490" s="14"/>
      <c r="C1490" s="14"/>
      <c r="D1490" s="9"/>
      <c r="E1490" s="9"/>
      <c r="J1490" s="13"/>
      <c r="K1490" s="13"/>
    </row>
    <row r="1491">
      <c r="A1491" s="9"/>
      <c r="B1491" s="14"/>
      <c r="C1491" s="14"/>
      <c r="D1491" s="9"/>
      <c r="E1491" s="9"/>
      <c r="J1491" s="13"/>
      <c r="K1491" s="13"/>
    </row>
    <row r="1492">
      <c r="A1492" s="9"/>
      <c r="B1492" s="14"/>
      <c r="C1492" s="14"/>
      <c r="D1492" s="9"/>
      <c r="E1492" s="9"/>
      <c r="J1492" s="13"/>
      <c r="K1492" s="13"/>
    </row>
    <row r="1493">
      <c r="A1493" s="9"/>
      <c r="B1493" s="14"/>
      <c r="C1493" s="14"/>
      <c r="D1493" s="9"/>
      <c r="E1493" s="9"/>
      <c r="J1493" s="13"/>
      <c r="K1493" s="13"/>
    </row>
    <row r="1494">
      <c r="A1494" s="9"/>
      <c r="B1494" s="14"/>
      <c r="C1494" s="14"/>
      <c r="D1494" s="9"/>
      <c r="E1494" s="9"/>
      <c r="J1494" s="13"/>
      <c r="K1494" s="13"/>
    </row>
    <row r="1495">
      <c r="A1495" s="9"/>
      <c r="B1495" s="14"/>
      <c r="C1495" s="14"/>
      <c r="D1495" s="9"/>
      <c r="E1495" s="9"/>
      <c r="J1495" s="13"/>
      <c r="K1495" s="13"/>
    </row>
    <row r="1496">
      <c r="A1496" s="9"/>
      <c r="B1496" s="14"/>
      <c r="C1496" s="14"/>
      <c r="D1496" s="9"/>
      <c r="E1496" s="9"/>
      <c r="J1496" s="13"/>
      <c r="K1496" s="13"/>
    </row>
    <row r="1497">
      <c r="A1497" s="9"/>
      <c r="B1497" s="14"/>
      <c r="C1497" s="14"/>
      <c r="D1497" s="9"/>
      <c r="E1497" s="9"/>
      <c r="J1497" s="13"/>
      <c r="K1497" s="13"/>
    </row>
    <row r="1498">
      <c r="A1498" s="9"/>
      <c r="B1498" s="14"/>
      <c r="C1498" s="14"/>
      <c r="D1498" s="9"/>
      <c r="E1498" s="9"/>
      <c r="J1498" s="13"/>
      <c r="K1498" s="13"/>
    </row>
    <row r="1499">
      <c r="A1499" s="9"/>
      <c r="B1499" s="14"/>
      <c r="C1499" s="14"/>
      <c r="D1499" s="9"/>
      <c r="E1499" s="9"/>
      <c r="J1499" s="13"/>
      <c r="K1499" s="13"/>
    </row>
    <row r="1500">
      <c r="A1500" s="9"/>
      <c r="B1500" s="14"/>
      <c r="C1500" s="14"/>
      <c r="D1500" s="9"/>
      <c r="E1500" s="9"/>
      <c r="J1500" s="13"/>
      <c r="K1500" s="13"/>
    </row>
    <row r="1501">
      <c r="A1501" s="9"/>
      <c r="B1501" s="14"/>
      <c r="C1501" s="14"/>
      <c r="D1501" s="9"/>
      <c r="E1501" s="9"/>
      <c r="J1501" s="13"/>
      <c r="K1501" s="13"/>
    </row>
    <row r="1502">
      <c r="A1502" s="9"/>
      <c r="B1502" s="14"/>
      <c r="C1502" s="14"/>
      <c r="D1502" s="9"/>
      <c r="E1502" s="9"/>
      <c r="J1502" s="13"/>
      <c r="K1502" s="13"/>
    </row>
    <row r="1503">
      <c r="A1503" s="9"/>
      <c r="B1503" s="14"/>
      <c r="C1503" s="14"/>
      <c r="D1503" s="9"/>
      <c r="E1503" s="9"/>
      <c r="J1503" s="13"/>
      <c r="K1503" s="13"/>
    </row>
    <row r="1504">
      <c r="A1504" s="9"/>
      <c r="B1504" s="14"/>
      <c r="C1504" s="14"/>
      <c r="D1504" s="9"/>
      <c r="E1504" s="9"/>
      <c r="J1504" s="13"/>
      <c r="K1504" s="13"/>
    </row>
    <row r="1505">
      <c r="A1505" s="9"/>
      <c r="B1505" s="14"/>
      <c r="C1505" s="14"/>
      <c r="D1505" s="9"/>
      <c r="E1505" s="9"/>
      <c r="J1505" s="13"/>
      <c r="K1505" s="13"/>
    </row>
    <row r="1506">
      <c r="A1506" s="9"/>
      <c r="B1506" s="14"/>
      <c r="C1506" s="14"/>
      <c r="D1506" s="9"/>
      <c r="E1506" s="9"/>
      <c r="J1506" s="13"/>
      <c r="K1506" s="13"/>
    </row>
    <row r="1507">
      <c r="A1507" s="9"/>
      <c r="B1507" s="14"/>
      <c r="C1507" s="14"/>
      <c r="D1507" s="9"/>
      <c r="E1507" s="9"/>
      <c r="J1507" s="13"/>
      <c r="K1507" s="13"/>
    </row>
    <row r="1508">
      <c r="A1508" s="9"/>
      <c r="B1508" s="14"/>
      <c r="C1508" s="14"/>
      <c r="D1508" s="9"/>
      <c r="E1508" s="9"/>
      <c r="J1508" s="13"/>
      <c r="K1508" s="13"/>
    </row>
    <row r="1509">
      <c r="A1509" s="9"/>
      <c r="B1509" s="14"/>
      <c r="C1509" s="14"/>
      <c r="D1509" s="9"/>
      <c r="E1509" s="9"/>
      <c r="J1509" s="13"/>
      <c r="K1509" s="13"/>
    </row>
    <row r="1510">
      <c r="A1510" s="9"/>
      <c r="B1510" s="14"/>
      <c r="C1510" s="14"/>
      <c r="D1510" s="9"/>
      <c r="E1510" s="9"/>
      <c r="J1510" s="13"/>
      <c r="K1510" s="13"/>
    </row>
    <row r="1511">
      <c r="A1511" s="9"/>
      <c r="B1511" s="14"/>
      <c r="C1511" s="14"/>
      <c r="D1511" s="9"/>
      <c r="E1511" s="9"/>
      <c r="J1511" s="13"/>
      <c r="K1511" s="13"/>
    </row>
    <row r="1512">
      <c r="A1512" s="9"/>
      <c r="B1512" s="14"/>
      <c r="C1512" s="14"/>
      <c r="D1512" s="9"/>
      <c r="E1512" s="9"/>
      <c r="J1512" s="13"/>
      <c r="K1512" s="13"/>
    </row>
    <row r="1513">
      <c r="A1513" s="9"/>
      <c r="B1513" s="14"/>
      <c r="C1513" s="14"/>
      <c r="D1513" s="9"/>
      <c r="E1513" s="9"/>
      <c r="J1513" s="13"/>
      <c r="K1513" s="13"/>
    </row>
    <row r="1514">
      <c r="A1514" s="9"/>
      <c r="B1514" s="14"/>
      <c r="C1514" s="14"/>
      <c r="D1514" s="9"/>
      <c r="E1514" s="9"/>
      <c r="J1514" s="13"/>
      <c r="K1514" s="13"/>
    </row>
    <row r="1515">
      <c r="A1515" s="9"/>
      <c r="B1515" s="14"/>
      <c r="C1515" s="14"/>
      <c r="D1515" s="9"/>
      <c r="E1515" s="9"/>
      <c r="J1515" s="13"/>
      <c r="K1515" s="13"/>
    </row>
    <row r="1516">
      <c r="A1516" s="9"/>
      <c r="B1516" s="14"/>
      <c r="C1516" s="14"/>
      <c r="D1516" s="9"/>
      <c r="E1516" s="9"/>
      <c r="J1516" s="13"/>
      <c r="K1516" s="13"/>
    </row>
    <row r="1517">
      <c r="A1517" s="9"/>
      <c r="B1517" s="14"/>
      <c r="C1517" s="14"/>
      <c r="D1517" s="9"/>
      <c r="E1517" s="9"/>
      <c r="J1517" s="13"/>
      <c r="K1517" s="13"/>
    </row>
    <row r="1518">
      <c r="A1518" s="9"/>
      <c r="B1518" s="14"/>
      <c r="C1518" s="14"/>
      <c r="D1518" s="9"/>
      <c r="E1518" s="9"/>
      <c r="J1518" s="13"/>
      <c r="K1518" s="13"/>
    </row>
    <row r="1519">
      <c r="A1519" s="9"/>
      <c r="B1519" s="14"/>
      <c r="C1519" s="14"/>
      <c r="D1519" s="9"/>
      <c r="E1519" s="9"/>
      <c r="J1519" s="13"/>
      <c r="K1519" s="13"/>
    </row>
    <row r="1520">
      <c r="A1520" s="9"/>
      <c r="B1520" s="14"/>
      <c r="C1520" s="14"/>
      <c r="D1520" s="9"/>
      <c r="E1520" s="9"/>
      <c r="J1520" s="13"/>
      <c r="K1520" s="13"/>
    </row>
    <row r="1521">
      <c r="A1521" s="9"/>
      <c r="B1521" s="14"/>
      <c r="C1521" s="14"/>
      <c r="D1521" s="9"/>
      <c r="E1521" s="9"/>
      <c r="J1521" s="13"/>
      <c r="K1521" s="13"/>
    </row>
    <row r="1522">
      <c r="A1522" s="9"/>
      <c r="B1522" s="14"/>
      <c r="C1522" s="14"/>
      <c r="D1522" s="9"/>
      <c r="E1522" s="9"/>
      <c r="J1522" s="13"/>
      <c r="K1522" s="13"/>
    </row>
    <row r="1523">
      <c r="A1523" s="9"/>
      <c r="B1523" s="14"/>
      <c r="C1523" s="14"/>
      <c r="D1523" s="9"/>
      <c r="E1523" s="9"/>
      <c r="J1523" s="13"/>
      <c r="K1523" s="13"/>
    </row>
    <row r="1524">
      <c r="A1524" s="9"/>
      <c r="B1524" s="14"/>
      <c r="C1524" s="14"/>
      <c r="D1524" s="9"/>
      <c r="E1524" s="9"/>
      <c r="J1524" s="13"/>
      <c r="K1524" s="13"/>
    </row>
    <row r="1525">
      <c r="A1525" s="9"/>
      <c r="B1525" s="14"/>
      <c r="C1525" s="14"/>
      <c r="D1525" s="9"/>
      <c r="E1525" s="9"/>
      <c r="J1525" s="13"/>
      <c r="K1525" s="13"/>
    </row>
    <row r="1526">
      <c r="A1526" s="9"/>
      <c r="B1526" s="14"/>
      <c r="C1526" s="14"/>
      <c r="D1526" s="9"/>
      <c r="E1526" s="9"/>
      <c r="J1526" s="13"/>
      <c r="K1526" s="13"/>
    </row>
    <row r="1527">
      <c r="A1527" s="9"/>
      <c r="B1527" s="14"/>
      <c r="C1527" s="14"/>
      <c r="D1527" s="9"/>
      <c r="E1527" s="9"/>
      <c r="J1527" s="13"/>
      <c r="K1527" s="13"/>
    </row>
    <row r="1528">
      <c r="A1528" s="9"/>
      <c r="B1528" s="14"/>
      <c r="C1528" s="14"/>
      <c r="D1528" s="9"/>
      <c r="E1528" s="9"/>
      <c r="J1528" s="13"/>
      <c r="K1528" s="13"/>
    </row>
    <row r="1529">
      <c r="A1529" s="9"/>
      <c r="B1529" s="14"/>
      <c r="C1529" s="14"/>
      <c r="D1529" s="9"/>
      <c r="E1529" s="9"/>
      <c r="J1529" s="13"/>
      <c r="K1529" s="13"/>
    </row>
    <row r="1530">
      <c r="A1530" s="9"/>
      <c r="B1530" s="14"/>
      <c r="C1530" s="14"/>
      <c r="D1530" s="9"/>
      <c r="E1530" s="9"/>
      <c r="J1530" s="13"/>
      <c r="K1530" s="13"/>
    </row>
    <row r="1531">
      <c r="A1531" s="9"/>
      <c r="B1531" s="14"/>
      <c r="C1531" s="14"/>
      <c r="D1531" s="9"/>
      <c r="E1531" s="9"/>
      <c r="J1531" s="13"/>
      <c r="K1531" s="13"/>
    </row>
    <row r="1532">
      <c r="A1532" s="9"/>
      <c r="B1532" s="14"/>
      <c r="C1532" s="14"/>
      <c r="D1532" s="9"/>
      <c r="E1532" s="9"/>
      <c r="J1532" s="13"/>
      <c r="K1532" s="13"/>
    </row>
    <row r="1533">
      <c r="A1533" s="9"/>
      <c r="B1533" s="14"/>
      <c r="C1533" s="14"/>
      <c r="D1533" s="9"/>
      <c r="E1533" s="9"/>
      <c r="J1533" s="13"/>
      <c r="K1533" s="13"/>
    </row>
    <row r="1534">
      <c r="A1534" s="9"/>
      <c r="B1534" s="14"/>
      <c r="C1534" s="14"/>
      <c r="D1534" s="9"/>
      <c r="E1534" s="9"/>
      <c r="J1534" s="13"/>
      <c r="K1534" s="13"/>
    </row>
    <row r="1535">
      <c r="A1535" s="9"/>
      <c r="B1535" s="14"/>
      <c r="C1535" s="14"/>
      <c r="D1535" s="9"/>
      <c r="E1535" s="9"/>
      <c r="J1535" s="13"/>
      <c r="K1535" s="13"/>
    </row>
    <row r="1536">
      <c r="A1536" s="9"/>
      <c r="B1536" s="14"/>
      <c r="C1536" s="14"/>
      <c r="D1536" s="9"/>
      <c r="E1536" s="9"/>
      <c r="J1536" s="13"/>
      <c r="K1536" s="13"/>
    </row>
    <row r="1537">
      <c r="A1537" s="9"/>
      <c r="B1537" s="14"/>
      <c r="C1537" s="14"/>
      <c r="D1537" s="9"/>
      <c r="E1537" s="9"/>
      <c r="J1537" s="13"/>
      <c r="K1537" s="13"/>
    </row>
    <row r="1538">
      <c r="A1538" s="9"/>
      <c r="B1538" s="14"/>
      <c r="C1538" s="14"/>
      <c r="D1538" s="9"/>
      <c r="E1538" s="9"/>
      <c r="J1538" s="13"/>
      <c r="K1538" s="13"/>
    </row>
    <row r="1539">
      <c r="A1539" s="9"/>
      <c r="B1539" s="14"/>
      <c r="C1539" s="14"/>
      <c r="D1539" s="9"/>
      <c r="E1539" s="9"/>
      <c r="J1539" s="13"/>
      <c r="K1539" s="13"/>
    </row>
    <row r="1540">
      <c r="A1540" s="9"/>
      <c r="B1540" s="14"/>
      <c r="C1540" s="14"/>
      <c r="D1540" s="9"/>
      <c r="E1540" s="9"/>
      <c r="J1540" s="13"/>
      <c r="K1540" s="13"/>
    </row>
    <row r="1541">
      <c r="A1541" s="9"/>
      <c r="B1541" s="14"/>
      <c r="C1541" s="14"/>
      <c r="D1541" s="9"/>
      <c r="E1541" s="9"/>
      <c r="J1541" s="13"/>
      <c r="K1541" s="13"/>
    </row>
    <row r="1542">
      <c r="A1542" s="9"/>
      <c r="B1542" s="14"/>
      <c r="C1542" s="14"/>
      <c r="D1542" s="9"/>
      <c r="E1542" s="9"/>
      <c r="J1542" s="13"/>
      <c r="K1542" s="13"/>
    </row>
    <row r="1543">
      <c r="A1543" s="9"/>
      <c r="B1543" s="14"/>
      <c r="C1543" s="14"/>
      <c r="D1543" s="9"/>
      <c r="E1543" s="9"/>
      <c r="J1543" s="13"/>
      <c r="K1543" s="13"/>
    </row>
    <row r="1544">
      <c r="A1544" s="9"/>
      <c r="B1544" s="14"/>
      <c r="C1544" s="14"/>
      <c r="D1544" s="9"/>
      <c r="E1544" s="9"/>
      <c r="J1544" s="13"/>
      <c r="K1544" s="13"/>
    </row>
    <row r="1545">
      <c r="A1545" s="9"/>
      <c r="B1545" s="14"/>
      <c r="C1545" s="14"/>
      <c r="D1545" s="9"/>
      <c r="E1545" s="9"/>
      <c r="J1545" s="13"/>
      <c r="K1545" s="13"/>
    </row>
    <row r="1546">
      <c r="A1546" s="9"/>
      <c r="B1546" s="14"/>
      <c r="C1546" s="14"/>
      <c r="D1546" s="9"/>
      <c r="E1546" s="9"/>
      <c r="J1546" s="13"/>
      <c r="K1546" s="13"/>
    </row>
    <row r="1547">
      <c r="A1547" s="9"/>
      <c r="B1547" s="14"/>
      <c r="C1547" s="14"/>
      <c r="D1547" s="9"/>
      <c r="E1547" s="9"/>
      <c r="J1547" s="13"/>
      <c r="K1547" s="13"/>
    </row>
    <row r="1548">
      <c r="A1548" s="9"/>
      <c r="B1548" s="14"/>
      <c r="C1548" s="14"/>
      <c r="D1548" s="9"/>
      <c r="E1548" s="9"/>
      <c r="J1548" s="13"/>
      <c r="K1548" s="13"/>
    </row>
    <row r="1549">
      <c r="A1549" s="9"/>
      <c r="B1549" s="14"/>
      <c r="C1549" s="14"/>
      <c r="D1549" s="9"/>
      <c r="E1549" s="9"/>
      <c r="J1549" s="13"/>
      <c r="K1549" s="13"/>
    </row>
    <row r="1550">
      <c r="A1550" s="9"/>
      <c r="B1550" s="14"/>
      <c r="C1550" s="14"/>
      <c r="D1550" s="9"/>
      <c r="E1550" s="9"/>
      <c r="J1550" s="13"/>
      <c r="K1550" s="13"/>
    </row>
    <row r="1551">
      <c r="A1551" s="9"/>
      <c r="B1551" s="14"/>
      <c r="C1551" s="14"/>
      <c r="D1551" s="9"/>
      <c r="E1551" s="9"/>
      <c r="J1551" s="13"/>
      <c r="K1551" s="13"/>
    </row>
    <row r="1552">
      <c r="A1552" s="9"/>
      <c r="B1552" s="14"/>
      <c r="C1552" s="14"/>
      <c r="D1552" s="9"/>
      <c r="E1552" s="9"/>
      <c r="J1552" s="13"/>
      <c r="K1552" s="13"/>
    </row>
    <row r="1553">
      <c r="A1553" s="9"/>
      <c r="B1553" s="14"/>
      <c r="C1553" s="14"/>
      <c r="D1553" s="9"/>
      <c r="E1553" s="9"/>
      <c r="J1553" s="13"/>
      <c r="K1553" s="13"/>
    </row>
    <row r="1554">
      <c r="A1554" s="9"/>
      <c r="B1554" s="14"/>
      <c r="C1554" s="14"/>
      <c r="D1554" s="9"/>
      <c r="E1554" s="9"/>
      <c r="J1554" s="13"/>
      <c r="K1554" s="13"/>
    </row>
    <row r="1555">
      <c r="A1555" s="9"/>
      <c r="B1555" s="14"/>
      <c r="C1555" s="14"/>
      <c r="D1555" s="9"/>
      <c r="E1555" s="9"/>
      <c r="J1555" s="13"/>
      <c r="K1555" s="13"/>
    </row>
    <row r="1556">
      <c r="A1556" s="9"/>
      <c r="B1556" s="14"/>
      <c r="C1556" s="14"/>
      <c r="D1556" s="9"/>
      <c r="E1556" s="9"/>
      <c r="J1556" s="13"/>
      <c r="K1556" s="13"/>
    </row>
    <row r="1557">
      <c r="A1557" s="9"/>
      <c r="B1557" s="14"/>
      <c r="C1557" s="14"/>
      <c r="D1557" s="9"/>
      <c r="E1557" s="9"/>
      <c r="J1557" s="13"/>
      <c r="K1557" s="13"/>
    </row>
    <row r="1558">
      <c r="A1558" s="9"/>
      <c r="B1558" s="14"/>
      <c r="C1558" s="14"/>
      <c r="D1558" s="9"/>
      <c r="E1558" s="9"/>
      <c r="J1558" s="13"/>
      <c r="K1558" s="13"/>
    </row>
    <row r="1559">
      <c r="A1559" s="9"/>
      <c r="B1559" s="14"/>
      <c r="C1559" s="14"/>
      <c r="D1559" s="9"/>
      <c r="E1559" s="9"/>
      <c r="J1559" s="13"/>
      <c r="K1559" s="13"/>
    </row>
    <row r="1560">
      <c r="A1560" s="9"/>
      <c r="B1560" s="14"/>
      <c r="C1560" s="14"/>
      <c r="D1560" s="9"/>
      <c r="E1560" s="9"/>
      <c r="J1560" s="13"/>
      <c r="K1560" s="13"/>
    </row>
    <row r="1561">
      <c r="A1561" s="9"/>
      <c r="B1561" s="14"/>
      <c r="C1561" s="14"/>
      <c r="D1561" s="9"/>
      <c r="E1561" s="9"/>
      <c r="J1561" s="13"/>
      <c r="K1561" s="13"/>
    </row>
    <row r="1562">
      <c r="A1562" s="9"/>
      <c r="B1562" s="14"/>
      <c r="C1562" s="14"/>
      <c r="D1562" s="9"/>
      <c r="E1562" s="9"/>
      <c r="J1562" s="13"/>
      <c r="K1562" s="13"/>
    </row>
    <row r="1563">
      <c r="A1563" s="9"/>
      <c r="B1563" s="14"/>
      <c r="C1563" s="14"/>
      <c r="D1563" s="9"/>
      <c r="E1563" s="9"/>
      <c r="J1563" s="13"/>
      <c r="K1563" s="13"/>
    </row>
    <row r="1564">
      <c r="A1564" s="9"/>
      <c r="B1564" s="14"/>
      <c r="C1564" s="14"/>
      <c r="D1564" s="9"/>
      <c r="E1564" s="9"/>
      <c r="J1564" s="13"/>
      <c r="K1564" s="13"/>
    </row>
    <row r="1565">
      <c r="A1565" s="9"/>
      <c r="B1565" s="14"/>
      <c r="C1565" s="14"/>
      <c r="D1565" s="9"/>
      <c r="E1565" s="9"/>
      <c r="J1565" s="13"/>
      <c r="K1565" s="13"/>
    </row>
    <row r="1566">
      <c r="A1566" s="9"/>
      <c r="B1566" s="14"/>
      <c r="C1566" s="14"/>
      <c r="D1566" s="9"/>
      <c r="E1566" s="9"/>
      <c r="J1566" s="13"/>
      <c r="K1566" s="13"/>
    </row>
    <row r="1567">
      <c r="A1567" s="9"/>
      <c r="B1567" s="14"/>
      <c r="C1567" s="14"/>
      <c r="D1567" s="9"/>
      <c r="E1567" s="9"/>
      <c r="J1567" s="13"/>
      <c r="K1567" s="13"/>
    </row>
    <row r="1568">
      <c r="A1568" s="9"/>
      <c r="B1568" s="14"/>
      <c r="C1568" s="14"/>
      <c r="D1568" s="9"/>
      <c r="E1568" s="9"/>
      <c r="J1568" s="13"/>
      <c r="K1568" s="13"/>
    </row>
    <row r="1569">
      <c r="A1569" s="9"/>
      <c r="B1569" s="14"/>
      <c r="C1569" s="14"/>
      <c r="D1569" s="9"/>
      <c r="E1569" s="9"/>
      <c r="J1569" s="13"/>
      <c r="K1569" s="13"/>
    </row>
    <row r="1570">
      <c r="A1570" s="9"/>
      <c r="B1570" s="14"/>
      <c r="C1570" s="14"/>
      <c r="D1570" s="9"/>
      <c r="E1570" s="9"/>
      <c r="J1570" s="13"/>
      <c r="K1570" s="13"/>
    </row>
    <row r="1571">
      <c r="A1571" s="9"/>
      <c r="B1571" s="14"/>
      <c r="C1571" s="14"/>
      <c r="D1571" s="9"/>
      <c r="E1571" s="9"/>
      <c r="J1571" s="13"/>
      <c r="K1571" s="13"/>
    </row>
    <row r="1572">
      <c r="A1572" s="9"/>
      <c r="B1572" s="14"/>
      <c r="C1572" s="14"/>
      <c r="D1572" s="9"/>
      <c r="E1572" s="9"/>
      <c r="J1572" s="13"/>
      <c r="K1572" s="13"/>
    </row>
    <row r="1573">
      <c r="A1573" s="9"/>
      <c r="B1573" s="14"/>
      <c r="C1573" s="14"/>
      <c r="D1573" s="9"/>
      <c r="E1573" s="9"/>
      <c r="J1573" s="13"/>
      <c r="K1573" s="13"/>
    </row>
    <row r="1574">
      <c r="A1574" s="9"/>
      <c r="B1574" s="14"/>
      <c r="C1574" s="14"/>
      <c r="D1574" s="9"/>
      <c r="E1574" s="9"/>
      <c r="J1574" s="13"/>
      <c r="K1574" s="13"/>
    </row>
    <row r="1575">
      <c r="A1575" s="9"/>
      <c r="B1575" s="14"/>
      <c r="C1575" s="14"/>
      <c r="D1575" s="9"/>
      <c r="E1575" s="9"/>
      <c r="J1575" s="13"/>
      <c r="K1575" s="13"/>
    </row>
    <row r="1576">
      <c r="A1576" s="9"/>
      <c r="B1576" s="14"/>
      <c r="C1576" s="14"/>
      <c r="D1576" s="9"/>
      <c r="E1576" s="9"/>
      <c r="J1576" s="13"/>
      <c r="K1576" s="13"/>
    </row>
    <row r="1577">
      <c r="A1577" s="9"/>
      <c r="B1577" s="14"/>
      <c r="C1577" s="14"/>
      <c r="D1577" s="9"/>
      <c r="E1577" s="9"/>
      <c r="J1577" s="13"/>
      <c r="K1577" s="13"/>
    </row>
    <row r="1578">
      <c r="A1578" s="9"/>
      <c r="B1578" s="14"/>
      <c r="C1578" s="14"/>
      <c r="D1578" s="9"/>
      <c r="E1578" s="9"/>
      <c r="J1578" s="13"/>
      <c r="K1578" s="13"/>
    </row>
    <row r="1579">
      <c r="A1579" s="9"/>
      <c r="B1579" s="14"/>
      <c r="C1579" s="14"/>
      <c r="D1579" s="9"/>
      <c r="E1579" s="9"/>
      <c r="J1579" s="13"/>
      <c r="K1579" s="13"/>
    </row>
    <row r="1580">
      <c r="A1580" s="9"/>
      <c r="B1580" s="14"/>
      <c r="C1580" s="14"/>
      <c r="D1580" s="9"/>
      <c r="E1580" s="9"/>
      <c r="J1580" s="13"/>
      <c r="K1580" s="13"/>
    </row>
    <row r="1581">
      <c r="A1581" s="9"/>
      <c r="B1581" s="14"/>
      <c r="C1581" s="14"/>
      <c r="D1581" s="9"/>
      <c r="E1581" s="9"/>
      <c r="J1581" s="13"/>
      <c r="K1581" s="13"/>
    </row>
    <row r="1582">
      <c r="A1582" s="9"/>
      <c r="B1582" s="14"/>
      <c r="C1582" s="14"/>
      <c r="D1582" s="9"/>
      <c r="E1582" s="9"/>
      <c r="J1582" s="13"/>
      <c r="K1582" s="13"/>
    </row>
    <row r="1583">
      <c r="A1583" s="9"/>
      <c r="B1583" s="14"/>
      <c r="C1583" s="14"/>
      <c r="D1583" s="9"/>
      <c r="E1583" s="9"/>
      <c r="J1583" s="13"/>
      <c r="K1583" s="13"/>
    </row>
    <row r="1584">
      <c r="A1584" s="9"/>
      <c r="B1584" s="14"/>
      <c r="C1584" s="14"/>
      <c r="D1584" s="9"/>
      <c r="E1584" s="9"/>
      <c r="J1584" s="13"/>
      <c r="K1584" s="13"/>
    </row>
    <row r="1585">
      <c r="A1585" s="9"/>
      <c r="B1585" s="14"/>
      <c r="C1585" s="14"/>
      <c r="D1585" s="9"/>
      <c r="E1585" s="9"/>
      <c r="J1585" s="13"/>
      <c r="K1585" s="13"/>
    </row>
    <row r="1586">
      <c r="A1586" s="9"/>
      <c r="B1586" s="14"/>
      <c r="C1586" s="14"/>
      <c r="D1586" s="9"/>
      <c r="E1586" s="9"/>
      <c r="J1586" s="13"/>
      <c r="K1586" s="13"/>
    </row>
    <row r="1587">
      <c r="A1587" s="9"/>
      <c r="B1587" s="14"/>
      <c r="C1587" s="14"/>
      <c r="D1587" s="9"/>
      <c r="E1587" s="9"/>
      <c r="J1587" s="13"/>
      <c r="K1587" s="13"/>
    </row>
    <row r="1588">
      <c r="A1588" s="9"/>
      <c r="B1588" s="14"/>
      <c r="C1588" s="14"/>
      <c r="D1588" s="9"/>
      <c r="E1588" s="9"/>
      <c r="J1588" s="13"/>
      <c r="K1588" s="13"/>
    </row>
    <row r="1589">
      <c r="A1589" s="9"/>
      <c r="B1589" s="14"/>
      <c r="C1589" s="14"/>
      <c r="D1589" s="9"/>
      <c r="E1589" s="9"/>
      <c r="J1589" s="13"/>
      <c r="K1589" s="13"/>
    </row>
    <row r="1590">
      <c r="A1590" s="9"/>
      <c r="B1590" s="14"/>
      <c r="C1590" s="14"/>
      <c r="D1590" s="9"/>
      <c r="E1590" s="9"/>
      <c r="J1590" s="13"/>
      <c r="K1590" s="13"/>
    </row>
    <row r="1591">
      <c r="A1591" s="9"/>
      <c r="B1591" s="14"/>
      <c r="C1591" s="14"/>
      <c r="D1591" s="9"/>
      <c r="E1591" s="9"/>
      <c r="J1591" s="13"/>
      <c r="K1591" s="13"/>
    </row>
    <row r="1592">
      <c r="A1592" s="9"/>
      <c r="B1592" s="14"/>
      <c r="C1592" s="14"/>
      <c r="D1592" s="9"/>
      <c r="E1592" s="9"/>
      <c r="J1592" s="13"/>
      <c r="K1592" s="13"/>
    </row>
    <row r="1593">
      <c r="A1593" s="9"/>
      <c r="B1593" s="14"/>
      <c r="C1593" s="14"/>
      <c r="D1593" s="9"/>
      <c r="E1593" s="9"/>
      <c r="J1593" s="13"/>
      <c r="K1593" s="13"/>
    </row>
    <row r="1594">
      <c r="A1594" s="9"/>
      <c r="B1594" s="14"/>
      <c r="C1594" s="14"/>
      <c r="D1594" s="9"/>
      <c r="E1594" s="9"/>
      <c r="J1594" s="13"/>
      <c r="K1594" s="13"/>
    </row>
    <row r="1595">
      <c r="A1595" s="9"/>
      <c r="B1595" s="14"/>
      <c r="C1595" s="14"/>
      <c r="D1595" s="9"/>
      <c r="E1595" s="9"/>
      <c r="J1595" s="13"/>
      <c r="K1595" s="13"/>
    </row>
    <row r="1596">
      <c r="A1596" s="9"/>
      <c r="B1596" s="14"/>
      <c r="C1596" s="14"/>
      <c r="D1596" s="9"/>
      <c r="E1596" s="9"/>
      <c r="J1596" s="13"/>
      <c r="K1596" s="13"/>
    </row>
    <row r="1597">
      <c r="A1597" s="9"/>
      <c r="B1597" s="14"/>
      <c r="C1597" s="14"/>
      <c r="D1597" s="9"/>
      <c r="E1597" s="9"/>
      <c r="J1597" s="13"/>
      <c r="K1597" s="13"/>
    </row>
    <row r="1598">
      <c r="A1598" s="9"/>
      <c r="B1598" s="14"/>
      <c r="C1598" s="14"/>
      <c r="D1598" s="9"/>
      <c r="E1598" s="9"/>
      <c r="J1598" s="13"/>
      <c r="K1598" s="13"/>
    </row>
    <row r="1599">
      <c r="A1599" s="9"/>
      <c r="B1599" s="14"/>
      <c r="C1599" s="14"/>
      <c r="D1599" s="9"/>
      <c r="E1599" s="9"/>
      <c r="J1599" s="13"/>
      <c r="K1599" s="13"/>
    </row>
    <row r="1600">
      <c r="A1600" s="9"/>
      <c r="B1600" s="14"/>
      <c r="C1600" s="14"/>
      <c r="D1600" s="9"/>
      <c r="E1600" s="9"/>
      <c r="J1600" s="13"/>
      <c r="K1600" s="13"/>
    </row>
    <row r="1601">
      <c r="A1601" s="9"/>
      <c r="B1601" s="14"/>
      <c r="C1601" s="14"/>
      <c r="D1601" s="9"/>
      <c r="E1601" s="9"/>
      <c r="J1601" s="13"/>
      <c r="K1601" s="13"/>
    </row>
    <row r="1602">
      <c r="A1602" s="9"/>
      <c r="B1602" s="14"/>
      <c r="C1602" s="14"/>
      <c r="D1602" s="9"/>
      <c r="E1602" s="9"/>
      <c r="J1602" s="13"/>
      <c r="K1602" s="13"/>
    </row>
    <row r="1603">
      <c r="A1603" s="9"/>
      <c r="B1603" s="14"/>
      <c r="C1603" s="14"/>
      <c r="D1603" s="9"/>
      <c r="E1603" s="9"/>
      <c r="J1603" s="13"/>
      <c r="K1603" s="13"/>
    </row>
    <row r="1604">
      <c r="A1604" s="9"/>
      <c r="B1604" s="14"/>
      <c r="C1604" s="14"/>
      <c r="D1604" s="9"/>
      <c r="E1604" s="9"/>
      <c r="J1604" s="13"/>
      <c r="K1604" s="13"/>
    </row>
    <row r="1605">
      <c r="A1605" s="9"/>
      <c r="B1605" s="14"/>
      <c r="C1605" s="14"/>
      <c r="D1605" s="9"/>
      <c r="E1605" s="9"/>
      <c r="J1605" s="13"/>
      <c r="K1605" s="13"/>
    </row>
    <row r="1606">
      <c r="A1606" s="9"/>
      <c r="B1606" s="14"/>
      <c r="C1606" s="14"/>
      <c r="D1606" s="9"/>
      <c r="E1606" s="9"/>
      <c r="J1606" s="13"/>
      <c r="K1606" s="13"/>
    </row>
    <row r="1607">
      <c r="A1607" s="9"/>
      <c r="B1607" s="14"/>
      <c r="C1607" s="14"/>
      <c r="D1607" s="9"/>
      <c r="E1607" s="9"/>
      <c r="J1607" s="13"/>
      <c r="K1607" s="13"/>
    </row>
    <row r="1608">
      <c r="A1608" s="9"/>
      <c r="B1608" s="14"/>
      <c r="C1608" s="14"/>
      <c r="D1608" s="9"/>
      <c r="E1608" s="9"/>
      <c r="J1608" s="13"/>
      <c r="K1608" s="13"/>
    </row>
    <row r="1609">
      <c r="A1609" s="9"/>
      <c r="B1609" s="14"/>
      <c r="C1609" s="14"/>
      <c r="D1609" s="9"/>
      <c r="E1609" s="9"/>
      <c r="J1609" s="13"/>
      <c r="K1609" s="13"/>
    </row>
    <row r="1610">
      <c r="A1610" s="9"/>
      <c r="B1610" s="14"/>
      <c r="C1610" s="14"/>
      <c r="D1610" s="9"/>
      <c r="E1610" s="9"/>
      <c r="J1610" s="13"/>
      <c r="K1610" s="13"/>
    </row>
    <row r="1611">
      <c r="A1611" s="9"/>
      <c r="B1611" s="14"/>
      <c r="C1611" s="14"/>
      <c r="D1611" s="9"/>
      <c r="E1611" s="9"/>
      <c r="J1611" s="13"/>
      <c r="K1611" s="13"/>
    </row>
    <row r="1612">
      <c r="A1612" s="9"/>
      <c r="B1612" s="14"/>
      <c r="C1612" s="14"/>
      <c r="D1612" s="9"/>
      <c r="E1612" s="9"/>
      <c r="J1612" s="13"/>
      <c r="K1612" s="13"/>
    </row>
    <row r="1613">
      <c r="A1613" s="9"/>
      <c r="B1613" s="14"/>
      <c r="C1613" s="14"/>
      <c r="D1613" s="9"/>
      <c r="E1613" s="9"/>
      <c r="J1613" s="13"/>
      <c r="K1613" s="13"/>
    </row>
    <row r="1614">
      <c r="A1614" s="9"/>
      <c r="B1614" s="14"/>
      <c r="C1614" s="14"/>
      <c r="D1614" s="9"/>
      <c r="E1614" s="9"/>
      <c r="J1614" s="13"/>
      <c r="K1614" s="13"/>
    </row>
    <row r="1615">
      <c r="A1615" s="9"/>
      <c r="B1615" s="14"/>
      <c r="C1615" s="14"/>
      <c r="D1615" s="9"/>
      <c r="E1615" s="9"/>
      <c r="J1615" s="13"/>
      <c r="K1615" s="13"/>
    </row>
    <row r="1616">
      <c r="A1616" s="9"/>
      <c r="B1616" s="14"/>
      <c r="C1616" s="14"/>
      <c r="D1616" s="9"/>
      <c r="E1616" s="9"/>
      <c r="J1616" s="13"/>
      <c r="K1616" s="13"/>
    </row>
    <row r="1617">
      <c r="A1617" s="9"/>
      <c r="B1617" s="14"/>
      <c r="C1617" s="14"/>
      <c r="D1617" s="9"/>
      <c r="E1617" s="9"/>
      <c r="J1617" s="13"/>
      <c r="K1617" s="13"/>
    </row>
    <row r="1618">
      <c r="A1618" s="9"/>
      <c r="B1618" s="14"/>
      <c r="C1618" s="14"/>
      <c r="D1618" s="9"/>
      <c r="E1618" s="9"/>
      <c r="J1618" s="13"/>
      <c r="K1618" s="13"/>
    </row>
    <row r="1619">
      <c r="A1619" s="9"/>
      <c r="B1619" s="14"/>
      <c r="C1619" s="14"/>
      <c r="D1619" s="9"/>
      <c r="E1619" s="9"/>
      <c r="J1619" s="13"/>
      <c r="K1619" s="13"/>
    </row>
    <row r="1620">
      <c r="A1620" s="9"/>
      <c r="B1620" s="14"/>
      <c r="C1620" s="14"/>
      <c r="D1620" s="9"/>
      <c r="E1620" s="9"/>
      <c r="J1620" s="13"/>
      <c r="K1620" s="13"/>
    </row>
    <row r="1621">
      <c r="A1621" s="9"/>
      <c r="B1621" s="14"/>
      <c r="C1621" s="14"/>
      <c r="D1621" s="9"/>
      <c r="E1621" s="9"/>
      <c r="J1621" s="13"/>
      <c r="K1621" s="13"/>
    </row>
    <row r="1622">
      <c r="A1622" s="9"/>
      <c r="B1622" s="14"/>
      <c r="C1622" s="14"/>
      <c r="D1622" s="9"/>
      <c r="E1622" s="9"/>
      <c r="J1622" s="13"/>
      <c r="K1622" s="13"/>
    </row>
    <row r="1623">
      <c r="A1623" s="9"/>
      <c r="B1623" s="14"/>
      <c r="C1623" s="14"/>
      <c r="D1623" s="9"/>
      <c r="E1623" s="9"/>
      <c r="J1623" s="13"/>
      <c r="K1623" s="13"/>
    </row>
    <row r="1624">
      <c r="A1624" s="9"/>
      <c r="B1624" s="14"/>
      <c r="C1624" s="14"/>
      <c r="D1624" s="9"/>
      <c r="E1624" s="9"/>
      <c r="J1624" s="13"/>
      <c r="K1624" s="13"/>
    </row>
    <row r="1625">
      <c r="A1625" s="9"/>
      <c r="B1625" s="14"/>
      <c r="C1625" s="14"/>
      <c r="D1625" s="9"/>
      <c r="E1625" s="9"/>
      <c r="J1625" s="13"/>
      <c r="K1625" s="13"/>
    </row>
    <row r="1626">
      <c r="A1626" s="9"/>
      <c r="B1626" s="14"/>
      <c r="C1626" s="14"/>
      <c r="D1626" s="9"/>
      <c r="E1626" s="9"/>
      <c r="J1626" s="13"/>
      <c r="K1626" s="13"/>
    </row>
    <row r="1627">
      <c r="A1627" s="9"/>
      <c r="B1627" s="14"/>
      <c r="C1627" s="14"/>
      <c r="D1627" s="9"/>
      <c r="E1627" s="9"/>
      <c r="J1627" s="13"/>
      <c r="K1627" s="13"/>
    </row>
    <row r="1628">
      <c r="A1628" s="9"/>
      <c r="B1628" s="14"/>
      <c r="C1628" s="14"/>
      <c r="D1628" s="9"/>
      <c r="E1628" s="9"/>
      <c r="J1628" s="13"/>
      <c r="K1628" s="13"/>
    </row>
    <row r="1629">
      <c r="A1629" s="9"/>
      <c r="B1629" s="14"/>
      <c r="C1629" s="14"/>
      <c r="D1629" s="9"/>
      <c r="E1629" s="9"/>
      <c r="J1629" s="13"/>
      <c r="K1629" s="13"/>
    </row>
    <row r="1630">
      <c r="A1630" s="9"/>
      <c r="B1630" s="14"/>
      <c r="C1630" s="14"/>
      <c r="D1630" s="9"/>
      <c r="E1630" s="9"/>
      <c r="J1630" s="13"/>
      <c r="K1630" s="13"/>
    </row>
    <row r="1631">
      <c r="A1631" s="9"/>
      <c r="B1631" s="14"/>
      <c r="C1631" s="14"/>
      <c r="D1631" s="9"/>
      <c r="E1631" s="9"/>
      <c r="J1631" s="13"/>
      <c r="K1631" s="13"/>
    </row>
    <row r="1632">
      <c r="A1632" s="9"/>
      <c r="B1632" s="14"/>
      <c r="C1632" s="14"/>
      <c r="D1632" s="9"/>
      <c r="E1632" s="9"/>
      <c r="J1632" s="13"/>
      <c r="K1632" s="13"/>
    </row>
    <row r="1633">
      <c r="A1633" s="9"/>
      <c r="B1633" s="14"/>
      <c r="C1633" s="14"/>
      <c r="D1633" s="9"/>
      <c r="E1633" s="9"/>
      <c r="J1633" s="13"/>
      <c r="K1633" s="13"/>
    </row>
    <row r="1634">
      <c r="A1634" s="9"/>
      <c r="B1634" s="14"/>
      <c r="C1634" s="14"/>
      <c r="D1634" s="9"/>
      <c r="E1634" s="9"/>
      <c r="J1634" s="13"/>
      <c r="K1634" s="13"/>
    </row>
    <row r="1635">
      <c r="A1635" s="9"/>
      <c r="B1635" s="14"/>
      <c r="C1635" s="14"/>
      <c r="D1635" s="9"/>
      <c r="E1635" s="9"/>
      <c r="J1635" s="13"/>
      <c r="K1635" s="13"/>
    </row>
    <row r="1636">
      <c r="A1636" s="9"/>
      <c r="B1636" s="14"/>
      <c r="C1636" s="14"/>
      <c r="D1636" s="9"/>
      <c r="E1636" s="9"/>
      <c r="J1636" s="13"/>
      <c r="K1636" s="13"/>
    </row>
    <row r="1637">
      <c r="A1637" s="9"/>
      <c r="B1637" s="14"/>
      <c r="C1637" s="14"/>
      <c r="D1637" s="9"/>
      <c r="E1637" s="9"/>
      <c r="J1637" s="13"/>
      <c r="K1637" s="13"/>
    </row>
    <row r="1638">
      <c r="A1638" s="9"/>
      <c r="B1638" s="14"/>
      <c r="C1638" s="14"/>
      <c r="D1638" s="9"/>
      <c r="E1638" s="9"/>
      <c r="J1638" s="13"/>
      <c r="K1638" s="13"/>
    </row>
    <row r="1639">
      <c r="A1639" s="9"/>
      <c r="B1639" s="14"/>
      <c r="C1639" s="14"/>
      <c r="D1639" s="9"/>
      <c r="E1639" s="9"/>
      <c r="J1639" s="13"/>
      <c r="K1639" s="13"/>
    </row>
    <row r="1640">
      <c r="A1640" s="9"/>
      <c r="B1640" s="14"/>
      <c r="C1640" s="14"/>
      <c r="D1640" s="9"/>
      <c r="E1640" s="9"/>
      <c r="J1640" s="13"/>
      <c r="K1640" s="13"/>
    </row>
    <row r="1641">
      <c r="A1641" s="9"/>
      <c r="B1641" s="14"/>
      <c r="C1641" s="14"/>
      <c r="D1641" s="9"/>
      <c r="E1641" s="9"/>
      <c r="J1641" s="13"/>
      <c r="K1641" s="13"/>
    </row>
    <row r="1642">
      <c r="A1642" s="9"/>
      <c r="B1642" s="14"/>
      <c r="C1642" s="14"/>
      <c r="D1642" s="9"/>
      <c r="E1642" s="9"/>
      <c r="J1642" s="13"/>
      <c r="K1642" s="13"/>
    </row>
    <row r="1643">
      <c r="A1643" s="9"/>
      <c r="B1643" s="14"/>
      <c r="C1643" s="14"/>
      <c r="D1643" s="9"/>
      <c r="E1643" s="9"/>
      <c r="J1643" s="13"/>
      <c r="K1643" s="13"/>
    </row>
    <row r="1644">
      <c r="A1644" s="9"/>
      <c r="B1644" s="14"/>
      <c r="C1644" s="14"/>
      <c r="D1644" s="9"/>
      <c r="E1644" s="9"/>
      <c r="J1644" s="13"/>
      <c r="K1644" s="13"/>
    </row>
    <row r="1645">
      <c r="A1645" s="9"/>
      <c r="B1645" s="14"/>
      <c r="C1645" s="14"/>
      <c r="D1645" s="9"/>
      <c r="E1645" s="9"/>
      <c r="J1645" s="13"/>
      <c r="K1645" s="13"/>
    </row>
    <row r="1646">
      <c r="A1646" s="9"/>
      <c r="B1646" s="14"/>
      <c r="C1646" s="14"/>
      <c r="D1646" s="9"/>
      <c r="E1646" s="9"/>
      <c r="J1646" s="13"/>
      <c r="K1646" s="13"/>
    </row>
    <row r="1647">
      <c r="A1647" s="9"/>
      <c r="B1647" s="14"/>
      <c r="C1647" s="14"/>
      <c r="D1647" s="9"/>
      <c r="E1647" s="9"/>
      <c r="J1647" s="13"/>
      <c r="K1647" s="13"/>
    </row>
    <row r="1648">
      <c r="A1648" s="9"/>
      <c r="B1648" s="14"/>
      <c r="C1648" s="14"/>
      <c r="D1648" s="9"/>
      <c r="E1648" s="9"/>
      <c r="J1648" s="13"/>
      <c r="K1648" s="13"/>
    </row>
    <row r="1649">
      <c r="A1649" s="9"/>
      <c r="B1649" s="14"/>
      <c r="C1649" s="14"/>
      <c r="D1649" s="9"/>
      <c r="E1649" s="9"/>
      <c r="J1649" s="13"/>
      <c r="K1649" s="13"/>
    </row>
    <row r="1650">
      <c r="A1650" s="9"/>
      <c r="B1650" s="14"/>
      <c r="C1650" s="14"/>
      <c r="D1650" s="9"/>
      <c r="E1650" s="9"/>
      <c r="J1650" s="13"/>
      <c r="K1650" s="13"/>
    </row>
    <row r="1651">
      <c r="A1651" s="9"/>
      <c r="B1651" s="14"/>
      <c r="C1651" s="14"/>
      <c r="D1651" s="9"/>
      <c r="E1651" s="9"/>
      <c r="J1651" s="13"/>
      <c r="K1651" s="13"/>
    </row>
    <row r="1652">
      <c r="A1652" s="9"/>
      <c r="B1652" s="14"/>
      <c r="C1652" s="14"/>
      <c r="D1652" s="9"/>
      <c r="E1652" s="9"/>
      <c r="J1652" s="13"/>
      <c r="K1652" s="13"/>
    </row>
    <row r="1653">
      <c r="A1653" s="9"/>
      <c r="B1653" s="14"/>
      <c r="C1653" s="14"/>
      <c r="D1653" s="9"/>
      <c r="E1653" s="9"/>
      <c r="J1653" s="13"/>
      <c r="K1653" s="13"/>
    </row>
    <row r="1654">
      <c r="A1654" s="9"/>
      <c r="B1654" s="14"/>
      <c r="C1654" s="14"/>
      <c r="D1654" s="9"/>
      <c r="E1654" s="9"/>
      <c r="J1654" s="13"/>
      <c r="K1654" s="13"/>
    </row>
    <row r="1655">
      <c r="A1655" s="9"/>
      <c r="B1655" s="14"/>
      <c r="C1655" s="14"/>
      <c r="D1655" s="9"/>
      <c r="E1655" s="9"/>
      <c r="J1655" s="13"/>
      <c r="K1655" s="13"/>
    </row>
    <row r="1656">
      <c r="A1656" s="9"/>
      <c r="B1656" s="14"/>
      <c r="C1656" s="14"/>
      <c r="D1656" s="9"/>
      <c r="E1656" s="9"/>
      <c r="J1656" s="13"/>
      <c r="K1656" s="13"/>
    </row>
    <row r="1657">
      <c r="A1657" s="9"/>
      <c r="B1657" s="14"/>
      <c r="C1657" s="14"/>
      <c r="D1657" s="9"/>
      <c r="E1657" s="9"/>
      <c r="J1657" s="13"/>
      <c r="K1657" s="13"/>
    </row>
    <row r="1658">
      <c r="A1658" s="9"/>
      <c r="B1658" s="14"/>
      <c r="C1658" s="14"/>
      <c r="D1658" s="9"/>
      <c r="E1658" s="9"/>
      <c r="J1658" s="13"/>
      <c r="K1658" s="13"/>
    </row>
    <row r="1659">
      <c r="A1659" s="9"/>
      <c r="B1659" s="14"/>
      <c r="C1659" s="14"/>
      <c r="D1659" s="9"/>
      <c r="E1659" s="9"/>
      <c r="J1659" s="13"/>
      <c r="K1659" s="13"/>
    </row>
    <row r="1660">
      <c r="A1660" s="9"/>
      <c r="B1660" s="14"/>
      <c r="C1660" s="14"/>
      <c r="D1660" s="9"/>
      <c r="E1660" s="9"/>
      <c r="J1660" s="13"/>
      <c r="K1660" s="13"/>
    </row>
    <row r="1661">
      <c r="A1661" s="9"/>
      <c r="B1661" s="14"/>
      <c r="C1661" s="14"/>
      <c r="D1661" s="9"/>
      <c r="E1661" s="9"/>
      <c r="J1661" s="13"/>
      <c r="K1661" s="13"/>
    </row>
    <row r="1662">
      <c r="A1662" s="9"/>
      <c r="B1662" s="14"/>
      <c r="C1662" s="14"/>
      <c r="D1662" s="9"/>
      <c r="E1662" s="9"/>
      <c r="J1662" s="13"/>
      <c r="K1662" s="13"/>
    </row>
    <row r="1663">
      <c r="A1663" s="9"/>
      <c r="B1663" s="14"/>
      <c r="C1663" s="14"/>
      <c r="D1663" s="9"/>
      <c r="E1663" s="9"/>
      <c r="J1663" s="13"/>
      <c r="K1663" s="13"/>
    </row>
    <row r="1664">
      <c r="A1664" s="9"/>
      <c r="B1664" s="14"/>
      <c r="C1664" s="14"/>
      <c r="D1664" s="9"/>
      <c r="E1664" s="9"/>
      <c r="J1664" s="13"/>
      <c r="K1664" s="13"/>
    </row>
    <row r="1665">
      <c r="A1665" s="9"/>
      <c r="B1665" s="14"/>
      <c r="C1665" s="14"/>
      <c r="D1665" s="9"/>
      <c r="E1665" s="9"/>
      <c r="J1665" s="13"/>
      <c r="K1665" s="13"/>
    </row>
    <row r="1666">
      <c r="A1666" s="9"/>
      <c r="B1666" s="14"/>
      <c r="C1666" s="14"/>
      <c r="D1666" s="9"/>
      <c r="E1666" s="9"/>
      <c r="J1666" s="13"/>
      <c r="K1666" s="13"/>
    </row>
    <row r="1667">
      <c r="A1667" s="9"/>
      <c r="B1667" s="14"/>
      <c r="C1667" s="14"/>
      <c r="D1667" s="9"/>
      <c r="E1667" s="9"/>
      <c r="J1667" s="13"/>
      <c r="K1667" s="13"/>
    </row>
    <row r="1668">
      <c r="A1668" s="9"/>
      <c r="B1668" s="14"/>
      <c r="C1668" s="14"/>
      <c r="D1668" s="9"/>
      <c r="E1668" s="9"/>
      <c r="J1668" s="13"/>
      <c r="K1668" s="13"/>
    </row>
    <row r="1669">
      <c r="A1669" s="9"/>
      <c r="B1669" s="14"/>
      <c r="C1669" s="14"/>
      <c r="D1669" s="9"/>
      <c r="E1669" s="9"/>
      <c r="J1669" s="13"/>
      <c r="K1669" s="13"/>
    </row>
    <row r="1670">
      <c r="A1670" s="9"/>
      <c r="B1670" s="14"/>
      <c r="C1670" s="14"/>
      <c r="D1670" s="9"/>
      <c r="E1670" s="9"/>
      <c r="J1670" s="13"/>
      <c r="K1670" s="13"/>
    </row>
    <row r="1671">
      <c r="A1671" s="9"/>
      <c r="B1671" s="14"/>
      <c r="C1671" s="14"/>
      <c r="D1671" s="9"/>
      <c r="E1671" s="9"/>
      <c r="J1671" s="13"/>
      <c r="K1671" s="13"/>
    </row>
    <row r="1672">
      <c r="A1672" s="9"/>
      <c r="B1672" s="14"/>
      <c r="C1672" s="14"/>
      <c r="D1672" s="9"/>
      <c r="E1672" s="9"/>
      <c r="J1672" s="13"/>
      <c r="K1672" s="13"/>
    </row>
    <row r="1673">
      <c r="A1673" s="9"/>
      <c r="B1673" s="14"/>
      <c r="C1673" s="14"/>
      <c r="D1673" s="9"/>
      <c r="E1673" s="9"/>
      <c r="J1673" s="13"/>
      <c r="K1673" s="13"/>
    </row>
    <row r="1674">
      <c r="A1674" s="9"/>
      <c r="B1674" s="14"/>
      <c r="C1674" s="14"/>
      <c r="D1674" s="9"/>
      <c r="E1674" s="9"/>
      <c r="J1674" s="13"/>
      <c r="K1674" s="13"/>
    </row>
    <row r="1675">
      <c r="A1675" s="9"/>
      <c r="B1675" s="14"/>
      <c r="C1675" s="14"/>
      <c r="D1675" s="9"/>
      <c r="E1675" s="9"/>
      <c r="J1675" s="13"/>
      <c r="K1675" s="13"/>
    </row>
    <row r="1676">
      <c r="A1676" s="9"/>
      <c r="B1676" s="14"/>
      <c r="C1676" s="14"/>
      <c r="D1676" s="9"/>
      <c r="E1676" s="9"/>
      <c r="J1676" s="13"/>
      <c r="K1676" s="13"/>
    </row>
    <row r="1677">
      <c r="A1677" s="9"/>
      <c r="B1677" s="14"/>
      <c r="C1677" s="14"/>
      <c r="D1677" s="9"/>
      <c r="E1677" s="9"/>
      <c r="J1677" s="13"/>
      <c r="K1677" s="13"/>
    </row>
    <row r="1678">
      <c r="A1678" s="9"/>
      <c r="B1678" s="14"/>
      <c r="C1678" s="14"/>
      <c r="D1678" s="9"/>
      <c r="E1678" s="9"/>
      <c r="J1678" s="13"/>
      <c r="K1678" s="13"/>
    </row>
    <row r="1679">
      <c r="A1679" s="9"/>
      <c r="B1679" s="14"/>
      <c r="C1679" s="14"/>
      <c r="D1679" s="9"/>
      <c r="E1679" s="9"/>
      <c r="J1679" s="13"/>
      <c r="K1679" s="13"/>
    </row>
    <row r="1680">
      <c r="A1680" s="9"/>
      <c r="B1680" s="14"/>
      <c r="C1680" s="14"/>
      <c r="D1680" s="9"/>
      <c r="E1680" s="9"/>
      <c r="J1680" s="13"/>
      <c r="K1680" s="13"/>
    </row>
    <row r="1681">
      <c r="A1681" s="9"/>
      <c r="B1681" s="14"/>
      <c r="C1681" s="14"/>
      <c r="D1681" s="9"/>
      <c r="E1681" s="9"/>
      <c r="J1681" s="13"/>
      <c r="K1681" s="13"/>
    </row>
    <row r="1682">
      <c r="A1682" s="9"/>
      <c r="B1682" s="14"/>
      <c r="C1682" s="14"/>
      <c r="D1682" s="9"/>
      <c r="E1682" s="9"/>
      <c r="J1682" s="13"/>
      <c r="K1682" s="13"/>
    </row>
    <row r="1683">
      <c r="A1683" s="9"/>
      <c r="B1683" s="14"/>
      <c r="C1683" s="14"/>
      <c r="D1683" s="9"/>
      <c r="E1683" s="9"/>
      <c r="J1683" s="13"/>
      <c r="K1683" s="13"/>
    </row>
    <row r="1684">
      <c r="A1684" s="9"/>
      <c r="B1684" s="14"/>
      <c r="C1684" s="14"/>
      <c r="D1684" s="9"/>
      <c r="E1684" s="9"/>
      <c r="J1684" s="13"/>
      <c r="K1684" s="13"/>
    </row>
    <row r="1685">
      <c r="A1685" s="9"/>
      <c r="B1685" s="14"/>
      <c r="C1685" s="14"/>
      <c r="D1685" s="9"/>
      <c r="E1685" s="9"/>
      <c r="J1685" s="13"/>
      <c r="K1685" s="13"/>
    </row>
    <row r="1686">
      <c r="A1686" s="9"/>
      <c r="B1686" s="14"/>
      <c r="C1686" s="14"/>
      <c r="D1686" s="9"/>
      <c r="E1686" s="9"/>
      <c r="J1686" s="13"/>
      <c r="K1686" s="13"/>
    </row>
    <row r="1687">
      <c r="A1687" s="9"/>
      <c r="B1687" s="14"/>
      <c r="C1687" s="14"/>
      <c r="D1687" s="9"/>
      <c r="E1687" s="9"/>
      <c r="J1687" s="13"/>
      <c r="K1687" s="13"/>
    </row>
    <row r="1688">
      <c r="A1688" s="9"/>
      <c r="B1688" s="14"/>
      <c r="C1688" s="14"/>
      <c r="D1688" s="9"/>
      <c r="E1688" s="9"/>
      <c r="J1688" s="13"/>
      <c r="K1688" s="13"/>
    </row>
    <row r="1689">
      <c r="A1689" s="9"/>
      <c r="B1689" s="14"/>
      <c r="C1689" s="14"/>
      <c r="D1689" s="9"/>
      <c r="E1689" s="9"/>
      <c r="J1689" s="13"/>
      <c r="K1689" s="13"/>
    </row>
    <row r="1690">
      <c r="A1690" s="9"/>
      <c r="B1690" s="14"/>
      <c r="C1690" s="14"/>
      <c r="D1690" s="9"/>
      <c r="E1690" s="9"/>
      <c r="J1690" s="13"/>
      <c r="K1690" s="13"/>
    </row>
    <row r="1691">
      <c r="A1691" s="9"/>
      <c r="B1691" s="14"/>
      <c r="C1691" s="14"/>
      <c r="D1691" s="9"/>
      <c r="E1691" s="9"/>
      <c r="J1691" s="13"/>
      <c r="K1691" s="13"/>
    </row>
    <row r="1692">
      <c r="A1692" s="9"/>
      <c r="B1692" s="14"/>
      <c r="C1692" s="14"/>
      <c r="D1692" s="9"/>
      <c r="E1692" s="9"/>
      <c r="J1692" s="13"/>
      <c r="K1692" s="13"/>
    </row>
    <row r="1693">
      <c r="A1693" s="9"/>
      <c r="B1693" s="14"/>
      <c r="C1693" s="14"/>
      <c r="D1693" s="9"/>
      <c r="E1693" s="9"/>
      <c r="J1693" s="13"/>
      <c r="K1693" s="13"/>
    </row>
    <row r="1694">
      <c r="A1694" s="9"/>
      <c r="B1694" s="14"/>
      <c r="C1694" s="14"/>
      <c r="D1694" s="9"/>
      <c r="E1694" s="9"/>
      <c r="J1694" s="13"/>
      <c r="K1694" s="13"/>
    </row>
    <row r="1695">
      <c r="A1695" s="9"/>
      <c r="B1695" s="14"/>
      <c r="C1695" s="14"/>
      <c r="D1695" s="9"/>
      <c r="E1695" s="9"/>
      <c r="J1695" s="13"/>
      <c r="K1695" s="13"/>
    </row>
    <row r="1696">
      <c r="A1696" s="9"/>
      <c r="B1696" s="14"/>
      <c r="C1696" s="14"/>
      <c r="D1696" s="9"/>
      <c r="E1696" s="9"/>
      <c r="J1696" s="13"/>
      <c r="K1696" s="13"/>
    </row>
    <row r="1697">
      <c r="A1697" s="9"/>
      <c r="B1697" s="14"/>
      <c r="C1697" s="14"/>
      <c r="D1697" s="9"/>
      <c r="E1697" s="9"/>
      <c r="J1697" s="13"/>
      <c r="K1697" s="13"/>
    </row>
    <row r="1698">
      <c r="A1698" s="9"/>
      <c r="B1698" s="14"/>
      <c r="C1698" s="14"/>
      <c r="D1698" s="9"/>
      <c r="E1698" s="9"/>
      <c r="J1698" s="13"/>
      <c r="K1698" s="13"/>
    </row>
    <row r="1699">
      <c r="A1699" s="9"/>
      <c r="B1699" s="14"/>
      <c r="C1699" s="14"/>
      <c r="D1699" s="9"/>
      <c r="E1699" s="9"/>
      <c r="J1699" s="13"/>
      <c r="K1699" s="13"/>
    </row>
    <row r="1700">
      <c r="A1700" s="9"/>
      <c r="B1700" s="14"/>
      <c r="C1700" s="14"/>
      <c r="D1700" s="9"/>
      <c r="E1700" s="9"/>
      <c r="J1700" s="13"/>
      <c r="K1700" s="13"/>
    </row>
    <row r="1701">
      <c r="A1701" s="9"/>
      <c r="B1701" s="14"/>
      <c r="C1701" s="14"/>
      <c r="D1701" s="9"/>
      <c r="E1701" s="9"/>
      <c r="J1701" s="13"/>
      <c r="K1701" s="13"/>
    </row>
    <row r="1702">
      <c r="A1702" s="9"/>
      <c r="B1702" s="14"/>
      <c r="C1702" s="14"/>
      <c r="D1702" s="9"/>
      <c r="E1702" s="9"/>
      <c r="J1702" s="13"/>
      <c r="K1702" s="13"/>
    </row>
    <row r="1703">
      <c r="A1703" s="9"/>
      <c r="B1703" s="14"/>
      <c r="C1703" s="14"/>
      <c r="D1703" s="9"/>
      <c r="E1703" s="9"/>
      <c r="J1703" s="13"/>
      <c r="K1703" s="13"/>
    </row>
    <row r="1704">
      <c r="A1704" s="9"/>
      <c r="B1704" s="14"/>
      <c r="C1704" s="14"/>
      <c r="D1704" s="9"/>
      <c r="E1704" s="9"/>
      <c r="J1704" s="13"/>
      <c r="K1704" s="13"/>
    </row>
    <row r="1705">
      <c r="A1705" s="9"/>
      <c r="B1705" s="14"/>
      <c r="C1705" s="14"/>
      <c r="D1705" s="9"/>
      <c r="E1705" s="9"/>
      <c r="J1705" s="13"/>
      <c r="K1705" s="13"/>
    </row>
    <row r="1706">
      <c r="A1706" s="9"/>
      <c r="B1706" s="14"/>
      <c r="C1706" s="14"/>
      <c r="D1706" s="9"/>
      <c r="E1706" s="9"/>
      <c r="J1706" s="13"/>
      <c r="K1706" s="13"/>
    </row>
    <row r="1707">
      <c r="A1707" s="9"/>
      <c r="B1707" s="14"/>
      <c r="C1707" s="14"/>
      <c r="D1707" s="9"/>
      <c r="E1707" s="9"/>
      <c r="J1707" s="13"/>
      <c r="K1707" s="13"/>
    </row>
    <row r="1708">
      <c r="A1708" s="9"/>
      <c r="B1708" s="14"/>
      <c r="C1708" s="14"/>
      <c r="D1708" s="9"/>
      <c r="E1708" s="9"/>
      <c r="J1708" s="13"/>
      <c r="K1708" s="13"/>
    </row>
    <row r="1709">
      <c r="A1709" s="9"/>
      <c r="B1709" s="14"/>
      <c r="C1709" s="14"/>
      <c r="D1709" s="9"/>
      <c r="E1709" s="9"/>
      <c r="J1709" s="13"/>
      <c r="K1709" s="13"/>
    </row>
    <row r="1710">
      <c r="A1710" s="9"/>
      <c r="B1710" s="14"/>
      <c r="C1710" s="14"/>
      <c r="D1710" s="9"/>
      <c r="E1710" s="9"/>
      <c r="J1710" s="13"/>
      <c r="K1710" s="13"/>
    </row>
    <row r="1711">
      <c r="A1711" s="9"/>
      <c r="B1711" s="14"/>
      <c r="C1711" s="14"/>
      <c r="D1711" s="9"/>
      <c r="E1711" s="9"/>
      <c r="J1711" s="13"/>
      <c r="K1711" s="13"/>
    </row>
    <row r="1712">
      <c r="A1712" s="9"/>
      <c r="B1712" s="14"/>
      <c r="C1712" s="14"/>
      <c r="D1712" s="9"/>
      <c r="E1712" s="9"/>
      <c r="J1712" s="13"/>
      <c r="K1712" s="13"/>
    </row>
    <row r="1713">
      <c r="A1713" s="9"/>
      <c r="B1713" s="14"/>
      <c r="C1713" s="14"/>
      <c r="D1713" s="9"/>
      <c r="E1713" s="9"/>
      <c r="J1713" s="13"/>
      <c r="K1713" s="13"/>
    </row>
    <row r="1714">
      <c r="A1714" s="9"/>
      <c r="B1714" s="14"/>
      <c r="C1714" s="14"/>
      <c r="D1714" s="9"/>
      <c r="E1714" s="9"/>
      <c r="J1714" s="13"/>
      <c r="K1714" s="13"/>
    </row>
    <row r="1715">
      <c r="A1715" s="9"/>
      <c r="B1715" s="14"/>
      <c r="C1715" s="14"/>
      <c r="D1715" s="9"/>
      <c r="E1715" s="9"/>
      <c r="J1715" s="13"/>
      <c r="K1715" s="13"/>
    </row>
    <row r="1716">
      <c r="A1716" s="9"/>
      <c r="B1716" s="14"/>
      <c r="C1716" s="14"/>
      <c r="D1716" s="9"/>
      <c r="E1716" s="9"/>
      <c r="J1716" s="13"/>
      <c r="K1716" s="13"/>
    </row>
    <row r="1717">
      <c r="A1717" s="9"/>
      <c r="B1717" s="14"/>
      <c r="C1717" s="14"/>
      <c r="D1717" s="9"/>
      <c r="E1717" s="9"/>
      <c r="J1717" s="13"/>
      <c r="K1717" s="13"/>
    </row>
    <row r="1718">
      <c r="A1718" s="9"/>
      <c r="B1718" s="14"/>
      <c r="C1718" s="14"/>
      <c r="D1718" s="9"/>
      <c r="E1718" s="9"/>
      <c r="J1718" s="13"/>
      <c r="K1718" s="13"/>
    </row>
    <row r="1719">
      <c r="A1719" s="9"/>
      <c r="B1719" s="14"/>
      <c r="C1719" s="14"/>
      <c r="D1719" s="9"/>
      <c r="E1719" s="9"/>
      <c r="J1719" s="13"/>
      <c r="K1719" s="13"/>
    </row>
    <row r="1720">
      <c r="A1720" s="9"/>
      <c r="B1720" s="14"/>
      <c r="C1720" s="14"/>
      <c r="D1720" s="9"/>
      <c r="E1720" s="9"/>
      <c r="J1720" s="13"/>
      <c r="K1720" s="13"/>
    </row>
    <row r="1721">
      <c r="A1721" s="9"/>
      <c r="B1721" s="14"/>
      <c r="C1721" s="14"/>
      <c r="D1721" s="9"/>
      <c r="E1721" s="9"/>
      <c r="J1721" s="13"/>
      <c r="K1721" s="13"/>
    </row>
    <row r="1722">
      <c r="A1722" s="9"/>
      <c r="B1722" s="14"/>
      <c r="C1722" s="14"/>
      <c r="D1722" s="9"/>
      <c r="E1722" s="9"/>
      <c r="J1722" s="13"/>
      <c r="K1722" s="13"/>
    </row>
    <row r="1723">
      <c r="A1723" s="9"/>
      <c r="B1723" s="14"/>
      <c r="C1723" s="14"/>
      <c r="D1723" s="9"/>
      <c r="E1723" s="9"/>
      <c r="J1723" s="13"/>
      <c r="K1723" s="13"/>
    </row>
    <row r="1724">
      <c r="A1724" s="9"/>
      <c r="B1724" s="14"/>
      <c r="C1724" s="14"/>
      <c r="D1724" s="9"/>
      <c r="E1724" s="9"/>
      <c r="J1724" s="13"/>
      <c r="K1724" s="13"/>
    </row>
    <row r="1725">
      <c r="A1725" s="9"/>
      <c r="B1725" s="14"/>
      <c r="C1725" s="14"/>
      <c r="D1725" s="9"/>
      <c r="E1725" s="9"/>
      <c r="J1725" s="13"/>
      <c r="K1725" s="13"/>
    </row>
    <row r="1726">
      <c r="A1726" s="9"/>
      <c r="B1726" s="14"/>
      <c r="C1726" s="14"/>
      <c r="D1726" s="9"/>
      <c r="E1726" s="9"/>
      <c r="J1726" s="13"/>
      <c r="K1726" s="13"/>
    </row>
    <row r="1727">
      <c r="A1727" s="9"/>
      <c r="B1727" s="14"/>
      <c r="C1727" s="14"/>
      <c r="D1727" s="9"/>
      <c r="E1727" s="9"/>
      <c r="J1727" s="13"/>
      <c r="K172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3.29"/>
    <col customWidth="1" min="3" max="3" width="29.86"/>
    <col customWidth="1" min="4" max="4" width="11.29"/>
    <col customWidth="1" min="5" max="5" width="15.71"/>
    <col customWidth="1" min="6" max="25" width="8.71"/>
  </cols>
  <sheetData>
    <row r="1">
      <c r="A1" s="19" t="s">
        <v>401</v>
      </c>
      <c r="B1" s="20" t="s">
        <v>0</v>
      </c>
      <c r="C1" s="20" t="s">
        <v>2</v>
      </c>
      <c r="D1" s="20" t="s">
        <v>1736</v>
      </c>
      <c r="E1" s="20" t="s">
        <v>1737</v>
      </c>
    </row>
    <row r="2">
      <c r="A2" s="10">
        <f t="array" ref="A2:A945">SEQUENCE(944,1)</f>
        <v>1</v>
      </c>
      <c r="B2" s="10" t="str">
        <f>IFERROR(__xludf.DUMMYFUNCTION("ARRAYFORMULA(REGEXEXTRACT(RawData!A2:A1501, ""^\S{4} (.*)$""))"),"La fée aux choux [fr]")</f>
        <v>La fée aux choux [fr]</v>
      </c>
      <c r="C2" s="21" t="str">
        <f>IFERROR(__xludf.DUMMYFUNCTION("ARRAYFORMULA(REGEXEXTRACT(RawData!B2:B1501, "": (.*)""))"),"Alice Guy-Blaché")</f>
        <v>Alice Guy-Blaché</v>
      </c>
      <c r="D2" s="10" t="str">
        <f>IFERROR(__xludf.DUMMYFUNCTION("ARRAYFORMULA(REGEXEXTRACT(RawData!A2:A1501, ""(\d+)"")) "),"1896")</f>
        <v>1896</v>
      </c>
      <c r="E2" s="21" t="s">
        <v>1738</v>
      </c>
      <c r="F2" s="21" t="s">
        <v>1738</v>
      </c>
    </row>
    <row r="3">
      <c r="A3" s="10">
        <v>2.0</v>
      </c>
      <c r="B3" s="10" t="str">
        <f>IFERROR(__xludf.DUMMYFUNCTION("""COMPUTED_VALUE"""),"Algie the Miner")</f>
        <v>Algie the Miner</v>
      </c>
      <c r="C3" s="21" t="str">
        <f>IFERROR(__xludf.DUMMYFUNCTION("""COMPUTED_VALUE"""),"Alice Guy-Blaché")</f>
        <v>Alice Guy-Blaché</v>
      </c>
      <c r="D3" s="10" t="str">
        <f>IFERROR(__xludf.DUMMYFUNCTION("""COMPUTED_VALUE"""),"1912")</f>
        <v>1912</v>
      </c>
      <c r="E3" s="21" t="s">
        <v>1739</v>
      </c>
      <c r="F3" s="21" t="s">
        <v>1739</v>
      </c>
    </row>
    <row r="4">
      <c r="A4" s="10">
        <v>3.0</v>
      </c>
      <c r="B4" s="10" t="str">
        <f>IFERROR(__xludf.DUMMYFUNCTION("""COMPUTED_VALUE"""),"The Merchant of Venice (lost film as of 2025)")</f>
        <v>The Merchant of Venice (lost film as of 2025)</v>
      </c>
      <c r="C4" s="21" t="str">
        <f>IFERROR(__xludf.DUMMYFUNCTION("""COMPUTED_VALUE"""),"Lois Weber")</f>
        <v>Lois Weber</v>
      </c>
      <c r="D4" s="10" t="str">
        <f>IFERROR(__xludf.DUMMYFUNCTION("""COMPUTED_VALUE"""),"1914")</f>
        <v>1914</v>
      </c>
      <c r="E4" s="21" t="s">
        <v>1740</v>
      </c>
      <c r="F4" s="21" t="s">
        <v>1740</v>
      </c>
    </row>
    <row r="5">
      <c r="A5" s="10">
        <v>4.0</v>
      </c>
      <c r="B5" s="10" t="str">
        <f>IFERROR(__xludf.DUMMYFUNCTION("""COMPUTED_VALUE"""),"An Argentine Romance (Un Romance Argentino)")</f>
        <v>An Argentine Romance (Un Romance Argentino)</v>
      </c>
      <c r="C5" s="21" t="str">
        <f>IFERROR(__xludf.DUMMYFUNCTION("""COMPUTED_VALUE"""),"Angélica Jovita García")</f>
        <v>Angélica Jovita García</v>
      </c>
      <c r="D5" s="10" t="str">
        <f>IFERROR(__xludf.DUMMYFUNCTION("""COMPUTED_VALUE"""),"1915")</f>
        <v>1915</v>
      </c>
    </row>
    <row r="6">
      <c r="A6" s="10">
        <v>5.0</v>
      </c>
      <c r="B6" s="10" t="str">
        <f>IFERROR(__xludf.DUMMYFUNCTION("""COMPUTED_VALUE"""),"The Hypocrites")</f>
        <v>The Hypocrites</v>
      </c>
      <c r="C6" s="21" t="str">
        <f>IFERROR(__xludf.DUMMYFUNCTION("""COMPUTED_VALUE"""),"Lois Weber")</f>
        <v>Lois Weber</v>
      </c>
      <c r="D6" s="10" t="str">
        <f>IFERROR(__xludf.DUMMYFUNCTION("""COMPUTED_VALUE"""),"1915")</f>
        <v>1915</v>
      </c>
    </row>
    <row r="7">
      <c r="A7" s="10">
        <v>6.0</v>
      </c>
      <c r="B7" s="10" t="str">
        <f>IFERROR(__xludf.DUMMYFUNCTION("""COMPUTED_VALUE"""),"Sempre Avanti, Savoia!")</f>
        <v>Sempre Avanti, Savoia!</v>
      </c>
      <c r="C7" s="21" t="str">
        <f>IFERROR(__xludf.DUMMYFUNCTION("""COMPUTED_VALUE"""),"Elvira Notari")</f>
        <v>Elvira Notari</v>
      </c>
      <c r="D7" s="10" t="str">
        <f>IFERROR(__xludf.DUMMYFUNCTION("""COMPUTED_VALUE"""),"1915")</f>
        <v>1915</v>
      </c>
    </row>
    <row r="8">
      <c r="A8" s="10">
        <v>7.0</v>
      </c>
      <c r="B8" s="10" t="str">
        <f>IFERROR(__xludf.DUMMYFUNCTION("""COMPUTED_VALUE"""),"The Devil's Prize")</f>
        <v>The Devil's Prize</v>
      </c>
      <c r="C8" s="21" t="str">
        <f>IFERROR(__xludf.DUMMYFUNCTION("""COMPUTED_VALUE"""),"Marguerite Bertsch")</f>
        <v>Marguerite Bertsch</v>
      </c>
      <c r="D8" s="10" t="str">
        <f>IFERROR(__xludf.DUMMYFUNCTION("""COMPUTED_VALUE"""),"1916")</f>
        <v>1916</v>
      </c>
    </row>
    <row r="9">
      <c r="A9" s="10">
        <v>8.0</v>
      </c>
      <c r="B9" s="10" t="str">
        <f>IFERROR(__xludf.DUMMYFUNCTION("""COMPUTED_VALUE"""),"Miss Peasant (lost film as of 2025)")</f>
        <v>Miss Peasant (lost film as of 2025)</v>
      </c>
      <c r="C9" s="21" t="str">
        <f>IFERROR(__xludf.DUMMYFUNCTION("""COMPUTED_VALUE"""),"Olga Preobrazhenskaya")</f>
        <v>Olga Preobrazhenskaya</v>
      </c>
      <c r="D9" s="10" t="str">
        <f>IFERROR(__xludf.DUMMYFUNCTION("""COMPUTED_VALUE"""),"1916")</f>
        <v>1916</v>
      </c>
    </row>
    <row r="10">
      <c r="A10" s="10">
        <v>9.0</v>
      </c>
      <c r="B10" s="10" t="str">
        <f>IFERROR(__xludf.DUMMYFUNCTION("""COMPUTED_VALUE"""),"Shoes")</f>
        <v>Shoes</v>
      </c>
      <c r="C10" s="21" t="str">
        <f>IFERROR(__xludf.DUMMYFUNCTION("""COMPUTED_VALUE"""),"Lois Weber")</f>
        <v>Lois Weber</v>
      </c>
      <c r="D10" s="10" t="str">
        <f>IFERROR(__xludf.DUMMYFUNCTION("""COMPUTED_VALUE"""),"1916")</f>
        <v>1916</v>
      </c>
    </row>
    <row r="11">
      <c r="A11" s="10">
        <v>10.0</v>
      </c>
      <c r="B11" s="10" t="str">
        <f>IFERROR(__xludf.DUMMYFUNCTION("""COMPUTED_VALUE"""),"'49–'17")</f>
        <v>'49–'17</v>
      </c>
      <c r="C11" s="21" t="str">
        <f>IFERROR(__xludf.DUMMYFUNCTION("""COMPUTED_VALUE"""),"Ruth Ann Baldwin")</f>
        <v>Ruth Ann Baldwin</v>
      </c>
      <c r="D11" s="10" t="str">
        <f>IFERROR(__xludf.DUMMYFUNCTION("""COMPUTED_VALUE"""),"1917")</f>
        <v>1917</v>
      </c>
    </row>
    <row r="12">
      <c r="A12" s="10">
        <v>11.0</v>
      </c>
      <c r="B12" s="10" t="str">
        <f>IFERROR(__xludf.DUMMYFUNCTION("""COMPUTED_VALUE"""),"Even As You and I")</f>
        <v>Even As You and I</v>
      </c>
      <c r="C12" s="21" t="str">
        <f>IFERROR(__xludf.DUMMYFUNCTION("""COMPUTED_VALUE"""),"Lois Weber")</f>
        <v>Lois Weber</v>
      </c>
      <c r="D12" s="10" t="str">
        <f>IFERROR(__xludf.DUMMYFUNCTION("""COMPUTED_VALUE"""),"1917")</f>
        <v>1917</v>
      </c>
    </row>
    <row r="13">
      <c r="A13" s="10">
        <v>12.0</v>
      </c>
      <c r="B13" s="10" t="str">
        <f>IFERROR(__xludf.DUMMYFUNCTION("""COMPUTED_VALUE"""),"The Glory of Yolanda")</f>
        <v>The Glory of Yolanda</v>
      </c>
      <c r="C13" s="21" t="str">
        <f>IFERROR(__xludf.DUMMYFUNCTION("""COMPUTED_VALUE"""),"Marguerite Bertsch")</f>
        <v>Marguerite Bertsch</v>
      </c>
      <c r="D13" s="10" t="str">
        <f>IFERROR(__xludf.DUMMYFUNCTION("""COMPUTED_VALUE"""),"1917")</f>
        <v>1917</v>
      </c>
    </row>
    <row r="14">
      <c r="A14" s="10">
        <v>13.0</v>
      </c>
      <c r="B14" s="10" t="str">
        <f>IFERROR(__xludf.DUMMYFUNCTION("""COMPUTED_VALUE"""),"The Mysterious Mrs. M")</f>
        <v>The Mysterious Mrs. M</v>
      </c>
      <c r="C14" s="21" t="str">
        <f>IFERROR(__xludf.DUMMYFUNCTION("""COMPUTED_VALUE"""),"Lois Weber")</f>
        <v>Lois Weber</v>
      </c>
      <c r="D14" s="10" t="str">
        <f>IFERROR(__xludf.DUMMYFUNCTION("""COMPUTED_VALUE"""),"1917")</f>
        <v>1917</v>
      </c>
    </row>
    <row r="15">
      <c r="A15" s="9">
        <v>14.0</v>
      </c>
      <c r="B15" s="10" t="str">
        <f>IFERROR(__xludf.DUMMYFUNCTION("""COMPUTED_VALUE"""),"A Wife on Trial")</f>
        <v>A Wife on Trial</v>
      </c>
      <c r="C15" s="21" t="str">
        <f>IFERROR(__xludf.DUMMYFUNCTION("""COMPUTED_VALUE"""),"Ruth Ann Baldwin")</f>
        <v>Ruth Ann Baldwin</v>
      </c>
      <c r="D15" s="10" t="str">
        <f>IFERROR(__xludf.DUMMYFUNCTION("""COMPUTED_VALUE"""),"1917")</f>
        <v>1917</v>
      </c>
    </row>
    <row r="16">
      <c r="A16" s="9">
        <v>15.0</v>
      </c>
      <c r="B16" s="10" t="str">
        <f>IFERROR(__xludf.DUMMYFUNCTION("""COMPUTED_VALUE"""),"Remodeling Her Husband")</f>
        <v>Remodeling Her Husband</v>
      </c>
      <c r="C16" s="21" t="str">
        <f>IFERROR(__xludf.DUMMYFUNCTION("""COMPUTED_VALUE"""),"Lillian Gish")</f>
        <v>Lillian Gish</v>
      </c>
      <c r="D16" s="10" t="str">
        <f>IFERROR(__xludf.DUMMYFUNCTION("""COMPUTED_VALUE"""),"1920")</f>
        <v>1920</v>
      </c>
    </row>
    <row r="17">
      <c r="A17" s="9">
        <v>16.0</v>
      </c>
      <c r="B17" s="10" t="str">
        <f>IFERROR(__xludf.DUMMYFUNCTION("""COMPUTED_VALUE"""),"To Please One Woman")</f>
        <v>To Please One Woman</v>
      </c>
      <c r="C17" s="21" t="str">
        <f>IFERROR(__xludf.DUMMYFUNCTION("""COMPUTED_VALUE"""),"Lois Weber")</f>
        <v>Lois Weber</v>
      </c>
      <c r="D17" s="10" t="str">
        <f>IFERROR(__xludf.DUMMYFUNCTION("""COMPUTED_VALUE"""),"1920")</f>
        <v>1920</v>
      </c>
    </row>
    <row r="18">
      <c r="A18" s="9">
        <v>17.0</v>
      </c>
      <c r="B18" s="10" t="str">
        <f>IFERROR(__xludf.DUMMYFUNCTION("""COMPUTED_VALUE"""),"The Blot")</f>
        <v>The Blot</v>
      </c>
      <c r="C18" s="21" t="str">
        <f>IFERROR(__xludf.DUMMYFUNCTION("""COMPUTED_VALUE"""),"Lois Weber")</f>
        <v>Lois Weber</v>
      </c>
      <c r="D18" s="10" t="str">
        <f>IFERROR(__xludf.DUMMYFUNCTION("""COMPUTED_VALUE"""),"1921")</f>
        <v>1921</v>
      </c>
    </row>
    <row r="19">
      <c r="A19" s="9">
        <v>18.0</v>
      </c>
      <c r="B19" s="10" t="str">
        <f>IFERROR(__xludf.DUMMYFUNCTION("""COMPUTED_VALUE"""),"Flor de España o la Leyenda de un Torero")</f>
        <v>Flor de España o la Leyenda de un Torero</v>
      </c>
      <c r="C19" s="21" t="str">
        <f>IFERROR(__xludf.DUMMYFUNCTION("""COMPUTED_VALUE"""),"Helena Cortesina")</f>
        <v>Helena Cortesina</v>
      </c>
      <c r="D19" s="10" t="str">
        <f>IFERROR(__xludf.DUMMYFUNCTION("""COMPUTED_VALUE"""),"1921")</f>
        <v>1921</v>
      </c>
    </row>
    <row r="20">
      <c r="A20" s="9">
        <v>19.0</v>
      </c>
      <c r="B20" s="10" t="str">
        <f>IFERROR(__xludf.DUMMYFUNCTION("""COMPUTED_VALUE"""),"The Good-Bad Wife")</f>
        <v>The Good-Bad Wife</v>
      </c>
      <c r="C20" s="21" t="str">
        <f>IFERROR(__xludf.DUMMYFUNCTION("""COMPUTED_VALUE"""),"Vera McCord")</f>
        <v>Vera McCord</v>
      </c>
      <c r="D20" s="10" t="str">
        <f>IFERROR(__xludf.DUMMYFUNCTION("""COMPUTED_VALUE"""),"1921")</f>
        <v>1921</v>
      </c>
    </row>
    <row r="21" ht="15.75" customHeight="1">
      <c r="A21" s="9">
        <v>20.0</v>
      </c>
      <c r="B21" s="10" t="str">
        <f>IFERROR(__xludf.DUMMYFUNCTION("""COMPUTED_VALUE"""),"Just Around the Corner")</f>
        <v>Just Around the Corner</v>
      </c>
      <c r="C21" s="21" t="str">
        <f>IFERROR(__xludf.DUMMYFUNCTION("""COMPUTED_VALUE"""),"Frances Marion")</f>
        <v>Frances Marion</v>
      </c>
      <c r="D21" s="10" t="str">
        <f>IFERROR(__xludf.DUMMYFUNCTION("""COMPUTED_VALUE"""),"1921")</f>
        <v>1921</v>
      </c>
    </row>
    <row r="22" ht="15.75" customHeight="1">
      <c r="A22" s="9">
        <v>21.0</v>
      </c>
      <c r="B22" s="10" t="str">
        <f>IFERROR(__xludf.DUMMYFUNCTION("""COMPUTED_VALUE"""),"The Love Light")</f>
        <v>The Love Light</v>
      </c>
      <c r="C22" s="21" t="str">
        <f>IFERROR(__xludf.DUMMYFUNCTION("""COMPUTED_VALUE"""),"Frances Marion")</f>
        <v>Frances Marion</v>
      </c>
      <c r="D22" s="10" t="str">
        <f>IFERROR(__xludf.DUMMYFUNCTION("""COMPUTED_VALUE"""),"1921")</f>
        <v>1921</v>
      </c>
    </row>
    <row r="23" ht="15.75" customHeight="1">
      <c r="A23" s="9">
        <v>22.0</v>
      </c>
      <c r="B23" s="10" t="str">
        <f>IFERROR(__xludf.DUMMYFUNCTION("""COMPUTED_VALUE"""),"Too Wise Wives")</f>
        <v>Too Wise Wives</v>
      </c>
      <c r="C23" s="21" t="str">
        <f>IFERROR(__xludf.DUMMYFUNCTION("""COMPUTED_VALUE"""),"Lois Weber")</f>
        <v>Lois Weber</v>
      </c>
      <c r="D23" s="10" t="str">
        <f>IFERROR(__xludf.DUMMYFUNCTION("""COMPUTED_VALUE"""),"1921")</f>
        <v>1921</v>
      </c>
    </row>
    <row r="24" ht="15.75" customHeight="1">
      <c r="A24" s="9">
        <v>23.0</v>
      </c>
      <c r="B24" s="10" t="str">
        <f>IFERROR(__xludf.DUMMYFUNCTION("""COMPUTED_VALUE"""),"What Do Men Want?")</f>
        <v>What Do Men Want?</v>
      </c>
      <c r="C24" s="21" t="str">
        <f>IFERROR(__xludf.DUMMYFUNCTION("""COMPUTED_VALUE"""),"Lois Weber")</f>
        <v>Lois Weber</v>
      </c>
      <c r="D24" s="10" t="str">
        <f>IFERROR(__xludf.DUMMYFUNCTION("""COMPUTED_VALUE"""),"1921")</f>
        <v>1921</v>
      </c>
    </row>
    <row r="25" ht="15.75" customHeight="1">
      <c r="A25" s="9">
        <v>24.0</v>
      </c>
      <c r="B25" s="10" t="str">
        <f>IFERROR(__xludf.DUMMYFUNCTION("""COMPUTED_VALUE"""),"What's Worth While?")</f>
        <v>What's Worth While?</v>
      </c>
      <c r="C25" s="21" t="str">
        <f>IFERROR(__xludf.DUMMYFUNCTION("""COMPUTED_VALUE"""),"Lois Weber")</f>
        <v>Lois Weber</v>
      </c>
      <c r="D25" s="10" t="str">
        <f>IFERROR(__xludf.DUMMYFUNCTION("""COMPUTED_VALUE"""),"1921")</f>
        <v>1921</v>
      </c>
    </row>
    <row r="26" ht="15.75" customHeight="1">
      <c r="A26" s="9">
        <v>25.0</v>
      </c>
      <c r="B26" s="10" t="str">
        <f>IFERROR(__xludf.DUMMYFUNCTION("""COMPUTED_VALUE"""),"The Smiling Madame Beudet (La Souriante Madame Beudet)")</f>
        <v>The Smiling Madame Beudet (La Souriante Madame Beudet)</v>
      </c>
      <c r="C26" s="21" t="str">
        <f>IFERROR(__xludf.DUMMYFUNCTION("""COMPUTED_VALUE"""),"Germaine Dulac")</f>
        <v>Germaine Dulac</v>
      </c>
      <c r="D26" s="10" t="str">
        <f>IFERROR(__xludf.DUMMYFUNCTION("""COMPUTED_VALUE"""),"1922")</f>
        <v>1922</v>
      </c>
      <c r="E26" s="21" t="s">
        <v>1741</v>
      </c>
      <c r="F26" s="21" t="s">
        <v>1741</v>
      </c>
    </row>
    <row r="27" ht="15.75" customHeight="1">
      <c r="A27" s="9">
        <v>26.0</v>
      </c>
      <c r="B27" s="10" t="str">
        <f>IFERROR(__xludf.DUMMYFUNCTION("""COMPUTED_VALUE"""),"Salomé")</f>
        <v>Salomé</v>
      </c>
      <c r="C27" s="21" t="str">
        <f>IFERROR(__xludf.DUMMYFUNCTION("""COMPUTED_VALUE"""),"Alla Nazimova")</f>
        <v>Alla Nazimova</v>
      </c>
      <c r="D27" s="10" t="str">
        <f>IFERROR(__xludf.DUMMYFUNCTION("""COMPUTED_VALUE"""),"1923")</f>
        <v>1923</v>
      </c>
    </row>
    <row r="28" ht="15.75" customHeight="1">
      <c r="A28" s="9">
        <v>27.0</v>
      </c>
      <c r="B28" s="10" t="str">
        <f>IFERROR(__xludf.DUMMYFUNCTION("""COMPUTED_VALUE"""),"The Song of Love")</f>
        <v>The Song of Love</v>
      </c>
      <c r="C28" s="21" t="str">
        <f>IFERROR(__xludf.DUMMYFUNCTION("""COMPUTED_VALUE"""),"Frances Marion")</f>
        <v>Frances Marion</v>
      </c>
      <c r="D28" s="10" t="str">
        <f>IFERROR(__xludf.DUMMYFUNCTION("""COMPUTED_VALUE"""),"1923")</f>
        <v>1923</v>
      </c>
    </row>
    <row r="29" ht="15.75" customHeight="1">
      <c r="A29" s="9">
        <v>28.0</v>
      </c>
      <c r="B29" s="10" t="str">
        <f>IFERROR(__xludf.DUMMYFUNCTION("""COMPUTED_VALUE"""),"An Orphan's Cry (孤雏悲声)")</f>
        <v>An Orphan's Cry (孤雏悲声)</v>
      </c>
      <c r="C29" s="21" t="str">
        <f>IFERROR(__xludf.DUMMYFUNCTION("""COMPUTED_VALUE"""),"Xie Caizhen")</f>
        <v>Xie Caizhen</v>
      </c>
      <c r="D29" s="10" t="str">
        <f>IFERROR(__xludf.DUMMYFUNCTION("""COMPUTED_VALUE"""),"1925")</f>
        <v>1925</v>
      </c>
    </row>
    <row r="30" ht="15.75" customHeight="1">
      <c r="A30" s="9">
        <v>29.0</v>
      </c>
      <c r="B30" s="10" t="str">
        <f>IFERROR(__xludf.DUMMYFUNCTION("""COMPUTED_VALUE"""),"The Adventures of Prince Achmed")</f>
        <v>The Adventures of Prince Achmed</v>
      </c>
      <c r="C30" s="21" t="str">
        <f>IFERROR(__xludf.DUMMYFUNCTION("""COMPUTED_VALUE"""),"Lotte Reiniger")</f>
        <v>Lotte Reiniger</v>
      </c>
      <c r="D30" s="10" t="str">
        <f>IFERROR(__xludf.DUMMYFUNCTION("""COMPUTED_VALUE"""),"1926")</f>
        <v>1926</v>
      </c>
      <c r="E30" s="21" t="s">
        <v>1742</v>
      </c>
      <c r="F30" s="21" t="s">
        <v>1742</v>
      </c>
    </row>
    <row r="31" ht="15.75" customHeight="1">
      <c r="A31" s="9">
        <v>30.0</v>
      </c>
      <c r="B31" s="10" t="str">
        <f>IFERROR(__xludf.DUMMYFUNCTION("""COMPUTED_VALUE"""),"Bulbul-e-Paristan")</f>
        <v>Bulbul-e-Paristan</v>
      </c>
      <c r="C31" s="21" t="str">
        <f>IFERROR(__xludf.DUMMYFUNCTION("""COMPUTED_VALUE"""),"Fatma Begum")</f>
        <v>Fatma Begum</v>
      </c>
      <c r="D31" s="10" t="str">
        <f>IFERROR(__xludf.DUMMYFUNCTION("""COMPUTED_VALUE"""),"1926")</f>
        <v>1926</v>
      </c>
    </row>
    <row r="32" ht="15.75" customHeight="1">
      <c r="A32" s="9">
        <v>31.0</v>
      </c>
      <c r="B32" s="10" t="str">
        <f>IFERROR(__xludf.DUMMYFUNCTION("""COMPUTED_VALUE"""),"The Marriage Clause")</f>
        <v>The Marriage Clause</v>
      </c>
      <c r="C32" s="21" t="str">
        <f>IFERROR(__xludf.DUMMYFUNCTION("""COMPUTED_VALUE"""),"Lois Weber")</f>
        <v>Lois Weber</v>
      </c>
      <c r="D32" s="10" t="str">
        <f>IFERROR(__xludf.DUMMYFUNCTION("""COMPUTED_VALUE"""),"1926")</f>
        <v>1926</v>
      </c>
      <c r="E32" s="21" t="s">
        <v>1743</v>
      </c>
      <c r="F32" s="21" t="s">
        <v>1743</v>
      </c>
    </row>
    <row r="33" ht="15.75" customHeight="1">
      <c r="A33" s="9">
        <v>32.0</v>
      </c>
      <c r="B33" s="10" t="str">
        <f>IFERROR(__xludf.DUMMYFUNCTION("""COMPUTED_VALUE"""),"The Angel of Broadway")</f>
        <v>The Angel of Broadway</v>
      </c>
      <c r="C33" s="21" t="str">
        <f>IFERROR(__xludf.DUMMYFUNCTION("""COMPUTED_VALUE"""),"Lois Weber")</f>
        <v>Lois Weber</v>
      </c>
      <c r="D33" s="10" t="str">
        <f>IFERROR(__xludf.DUMMYFUNCTION("""COMPUTED_VALUE"""),"1927")</f>
        <v>1927</v>
      </c>
    </row>
    <row r="34" ht="15.75" customHeight="1">
      <c r="A34" s="9">
        <v>33.0</v>
      </c>
      <c r="B34" s="10" t="str">
        <f>IFERROR(__xludf.DUMMYFUNCTION("""COMPUTED_VALUE"""),"The Fall of the Romanov Dynasty")</f>
        <v>The Fall of the Romanov Dynasty</v>
      </c>
      <c r="C34" s="21" t="str">
        <f>IFERROR(__xludf.DUMMYFUNCTION("""COMPUTED_VALUE"""),"Esfir Shub")</f>
        <v>Esfir Shub</v>
      </c>
      <c r="D34" s="10" t="str">
        <f>IFERROR(__xludf.DUMMYFUNCTION("""COMPUTED_VALUE"""),"1927")</f>
        <v>1927</v>
      </c>
    </row>
    <row r="35" ht="15.75" customHeight="1">
      <c r="A35" s="9">
        <v>34.0</v>
      </c>
      <c r="B35" s="10" t="str">
        <f>IFERROR(__xludf.DUMMYFUNCTION("""COMPUTED_VALUE"""),"Fashions for Women")</f>
        <v>Fashions for Women</v>
      </c>
      <c r="C35" s="21" t="str">
        <f>IFERROR(__xludf.DUMMYFUNCTION("""COMPUTED_VALUE"""),"Dorothy Arzner")</f>
        <v>Dorothy Arzner</v>
      </c>
      <c r="D35" s="10" t="str">
        <f>IFERROR(__xludf.DUMMYFUNCTION("""COMPUTED_VALUE"""),"1927")</f>
        <v>1927</v>
      </c>
    </row>
    <row r="36" ht="15.75" customHeight="1">
      <c r="A36" s="9">
        <v>35.0</v>
      </c>
      <c r="B36" s="10" t="str">
        <f>IFERROR(__xludf.DUMMYFUNCTION("""COMPUTED_VALUE"""),"Get Your Man")</f>
        <v>Get Your Man</v>
      </c>
      <c r="C36" s="21" t="str">
        <f>IFERROR(__xludf.DUMMYFUNCTION("""COMPUTED_VALUE"""),"Dorothy Arzner")</f>
        <v>Dorothy Arzner</v>
      </c>
      <c r="D36" s="10" t="str">
        <f>IFERROR(__xludf.DUMMYFUNCTION("""COMPUTED_VALUE"""),"1927")</f>
        <v>1927</v>
      </c>
    </row>
    <row r="37" ht="15.75" customHeight="1">
      <c r="A37" s="9">
        <v>36.0</v>
      </c>
      <c r="B37" s="10" t="str">
        <f>IFERROR(__xludf.DUMMYFUNCTION("""COMPUTED_VALUE"""),"Goddess of Love")</f>
        <v>Goddess of Love</v>
      </c>
      <c r="C37" s="21" t="str">
        <f>IFERROR(__xludf.DUMMYFUNCTION("""COMPUTED_VALUE"""),"Fatma Begum")</f>
        <v>Fatma Begum</v>
      </c>
      <c r="D37" s="10" t="str">
        <f>IFERROR(__xludf.DUMMYFUNCTION("""COMPUTED_VALUE"""),"1927")</f>
        <v>1927</v>
      </c>
    </row>
    <row r="38" ht="15.75" customHeight="1">
      <c r="A38" s="9">
        <v>37.0</v>
      </c>
      <c r="B38" s="10" t="str">
        <f>IFERROR(__xludf.DUMMYFUNCTION("""COMPUTED_VALUE"""),"Laila")</f>
        <v>Laila</v>
      </c>
      <c r="C38" s="21" t="str">
        <f>IFERROR(__xludf.DUMMYFUNCTION("""COMPUTED_VALUE"""),"Aziza Amir")</f>
        <v>Aziza Amir</v>
      </c>
      <c r="D38" s="10" t="str">
        <f>IFERROR(__xludf.DUMMYFUNCTION("""COMPUTED_VALUE"""),"1927")</f>
        <v>1927</v>
      </c>
    </row>
    <row r="39" ht="15.75" customHeight="1">
      <c r="A39" s="9">
        <v>38.0</v>
      </c>
      <c r="B39" s="10" t="str">
        <f>IFERROR(__xludf.DUMMYFUNCTION("""COMPUTED_VALUE"""),"Sensation Seekers")</f>
        <v>Sensation Seekers</v>
      </c>
      <c r="C39" s="21" t="str">
        <f>IFERROR(__xludf.DUMMYFUNCTION("""COMPUTED_VALUE"""),"Lois Weber")</f>
        <v>Lois Weber</v>
      </c>
      <c r="D39" s="10" t="str">
        <f>IFERROR(__xludf.DUMMYFUNCTION("""COMPUTED_VALUE"""),"1927")</f>
        <v>1927</v>
      </c>
    </row>
    <row r="40" ht="15.75" customHeight="1">
      <c r="A40" s="9">
        <v>39.0</v>
      </c>
      <c r="B40" s="10" t="str">
        <f>IFERROR(__xludf.DUMMYFUNCTION("""COMPUTED_VALUE"""),"Ten Modern Commandments")</f>
        <v>Ten Modern Commandments</v>
      </c>
      <c r="C40" s="21" t="str">
        <f>IFERROR(__xludf.DUMMYFUNCTION("""COMPUTED_VALUE"""),"Dorothy Arzner")</f>
        <v>Dorothy Arzner</v>
      </c>
      <c r="D40" s="10" t="str">
        <f>IFERROR(__xludf.DUMMYFUNCTION("""COMPUTED_VALUE"""),"1927")</f>
        <v>1927</v>
      </c>
    </row>
    <row r="41" ht="15.75" customHeight="1">
      <c r="A41" s="9">
        <v>40.0</v>
      </c>
      <c r="B41" s="10" t="str">
        <f>IFERROR(__xludf.DUMMYFUNCTION("""COMPUTED_VALUE"""),"Women of Ryazan")</f>
        <v>Women of Ryazan</v>
      </c>
      <c r="C41" s="21" t="str">
        <f>IFERROR(__xludf.DUMMYFUNCTION("""COMPUTED_VALUE"""),"Olga Preobrazhenskaya")</f>
        <v>Olga Preobrazhenskaya</v>
      </c>
      <c r="D41" s="10" t="str">
        <f>IFERROR(__xludf.DUMMYFUNCTION("""COMPUTED_VALUE"""),"1927")</f>
        <v>1927</v>
      </c>
    </row>
    <row r="42" ht="15.75" customHeight="1">
      <c r="A42" s="9">
        <v>41.0</v>
      </c>
      <c r="B42" s="10" t="str">
        <f>IFERROR(__xludf.DUMMYFUNCTION("""COMPUTED_VALUE"""),"Chandravali")</f>
        <v>Chandravali</v>
      </c>
      <c r="C42" s="21" t="str">
        <f>IFERROR(__xludf.DUMMYFUNCTION("""COMPUTED_VALUE"""),"Fatma Begum")</f>
        <v>Fatma Begum</v>
      </c>
      <c r="D42" s="10" t="str">
        <f>IFERROR(__xludf.DUMMYFUNCTION("""COMPUTED_VALUE"""),"1928")</f>
        <v>1928</v>
      </c>
    </row>
    <row r="43" ht="15.75" customHeight="1">
      <c r="A43" s="9">
        <v>42.0</v>
      </c>
      <c r="B43" s="10" t="str">
        <f>IFERROR(__xludf.DUMMYFUNCTION("""COMPUTED_VALUE"""),"Heer Ranjha")</f>
        <v>Heer Ranjha</v>
      </c>
      <c r="C43" s="21" t="str">
        <f>IFERROR(__xludf.DUMMYFUNCTION("""COMPUTED_VALUE"""),"Fatma Begum")</f>
        <v>Fatma Begum</v>
      </c>
      <c r="D43" s="10" t="str">
        <f>IFERROR(__xludf.DUMMYFUNCTION("""COMPUTED_VALUE"""),"1928")</f>
        <v>1928</v>
      </c>
    </row>
    <row r="44" ht="15.75" customHeight="1">
      <c r="A44" s="9">
        <v>43.0</v>
      </c>
      <c r="B44" s="10" t="str">
        <f>IFERROR(__xludf.DUMMYFUNCTION("""COMPUTED_VALUE"""),"Manhattan Cocktail")</f>
        <v>Manhattan Cocktail</v>
      </c>
      <c r="C44" s="21" t="str">
        <f>IFERROR(__xludf.DUMMYFUNCTION("""COMPUTED_VALUE"""),"Dorothy Arzner")</f>
        <v>Dorothy Arzner</v>
      </c>
      <c r="D44" s="10" t="str">
        <f>IFERROR(__xludf.DUMMYFUNCTION("""COMPUTED_VALUE"""),"1928")</f>
        <v>1928</v>
      </c>
    </row>
    <row r="45" ht="15.75" customHeight="1">
      <c r="A45" s="9">
        <v>44.0</v>
      </c>
      <c r="B45" s="10" t="str">
        <f>IFERROR(__xludf.DUMMYFUNCTION("""COMPUTED_VALUE"""),"The Seashell and the Clergyman")</f>
        <v>The Seashell and the Clergyman</v>
      </c>
      <c r="C45" s="21" t="str">
        <f>IFERROR(__xludf.DUMMYFUNCTION("""COMPUTED_VALUE"""),"Germaine Dulac")</f>
        <v>Germaine Dulac</v>
      </c>
      <c r="D45" s="10" t="str">
        <f>IFERROR(__xludf.DUMMYFUNCTION("""COMPUTED_VALUE"""),"1928")</f>
        <v>1928</v>
      </c>
    </row>
    <row r="46" ht="15.75" customHeight="1">
      <c r="A46" s="9">
        <v>45.0</v>
      </c>
      <c r="B46" s="10" t="str">
        <f>IFERROR(__xludf.DUMMYFUNCTION("""COMPUTED_VALUE"""),"The Wild Party")</f>
        <v>The Wild Party</v>
      </c>
      <c r="C46" s="21" t="str">
        <f>IFERROR(__xludf.DUMMYFUNCTION("""COMPUTED_VALUE"""),"Dorothy Arzner")</f>
        <v>Dorothy Arzner</v>
      </c>
      <c r="D46" s="10" t="str">
        <f>IFERROR(__xludf.DUMMYFUNCTION("""COMPUTED_VALUE"""),"1929")</f>
        <v>1929</v>
      </c>
    </row>
    <row r="47" ht="15.75" customHeight="1">
      <c r="A47" s="9">
        <v>46.0</v>
      </c>
      <c r="B47" s="10" t="str">
        <f>IFERROR(__xludf.DUMMYFUNCTION("""COMPUTED_VALUE"""),"Anybody's Woman")</f>
        <v>Anybody's Woman</v>
      </c>
      <c r="C47" s="21" t="str">
        <f>IFERROR(__xludf.DUMMYFUNCTION("""COMPUTED_VALUE"""),"Dorothy Arzner")</f>
        <v>Dorothy Arzner</v>
      </c>
      <c r="D47" s="10" t="str">
        <f>IFERROR(__xludf.DUMMYFUNCTION("""COMPUTED_VALUE"""),"1930")</f>
        <v>1930</v>
      </c>
    </row>
    <row r="48" ht="15.75" customHeight="1">
      <c r="A48" s="9">
        <v>47.0</v>
      </c>
      <c r="B48" s="10" t="str">
        <f>IFERROR(__xludf.DUMMYFUNCTION("""COMPUTED_VALUE"""),"Sarah and Son")</f>
        <v>Sarah and Son</v>
      </c>
      <c r="C48" s="21" t="str">
        <f>IFERROR(__xludf.DUMMYFUNCTION("""COMPUTED_VALUE"""),"Dorothy Arzner")</f>
        <v>Dorothy Arzner</v>
      </c>
      <c r="D48" s="10" t="str">
        <f>IFERROR(__xludf.DUMMYFUNCTION("""COMPUTED_VALUE"""),"1930")</f>
        <v>1930</v>
      </c>
    </row>
    <row r="49" ht="15.75" customHeight="1">
      <c r="A49" s="9">
        <v>48.0</v>
      </c>
      <c r="B49" s="10" t="str">
        <f>IFERROR(__xludf.DUMMYFUNCTION("""COMPUTED_VALUE"""),"Mädchen in Uniform (Girls in uniform)")</f>
        <v>Mädchen in Uniform (Girls in uniform)</v>
      </c>
      <c r="C49" s="21" t="str">
        <f>IFERROR(__xludf.DUMMYFUNCTION("""COMPUTED_VALUE"""),"Leontine Sagan")</f>
        <v>Leontine Sagan</v>
      </c>
      <c r="D49" s="10" t="str">
        <f>IFERROR(__xludf.DUMMYFUNCTION("""COMPUTED_VALUE"""),"1931")</f>
        <v>1931</v>
      </c>
    </row>
    <row r="50" ht="15.75" customHeight="1">
      <c r="A50" s="9">
        <v>49.0</v>
      </c>
      <c r="B50" s="10" t="str">
        <f>IFERROR(__xludf.DUMMYFUNCTION("""COMPUTED_VALUE"""),"The Mystery of the Black Domino (O Mistério do Dominó Preto)")</f>
        <v>The Mystery of the Black Domino (O Mistério do Dominó Preto)</v>
      </c>
      <c r="C50" s="21" t="str">
        <f>IFERROR(__xludf.DUMMYFUNCTION("""COMPUTED_VALUE"""),"Cléo de Verberena")</f>
        <v>Cléo de Verberena</v>
      </c>
      <c r="D50" s="10" t="str">
        <f>IFERROR(__xludf.DUMMYFUNCTION("""COMPUTED_VALUE"""),"1931")</f>
        <v>1931</v>
      </c>
    </row>
    <row r="51" ht="15.75" customHeight="1">
      <c r="A51" s="9">
        <v>50.0</v>
      </c>
      <c r="B51" s="10" t="str">
        <f>IFERROR(__xludf.DUMMYFUNCTION("""COMPUTED_VALUE"""),"Honor Among Lovers")</f>
        <v>Honor Among Lovers</v>
      </c>
      <c r="C51" s="21" t="str">
        <f>IFERROR(__xludf.DUMMYFUNCTION("""COMPUTED_VALUE"""),"Dorothy Arzner")</f>
        <v>Dorothy Arzner</v>
      </c>
      <c r="D51" s="10" t="str">
        <f>IFERROR(__xludf.DUMMYFUNCTION("""COMPUTED_VALUE"""),"1931")</f>
        <v>1931</v>
      </c>
    </row>
    <row r="52" ht="15.75" customHeight="1">
      <c r="A52" s="9">
        <v>51.0</v>
      </c>
      <c r="B52" s="10" t="str">
        <f>IFERROR(__xludf.DUMMYFUNCTION("""COMPUTED_VALUE"""),"Working Girls")</f>
        <v>Working Girls</v>
      </c>
      <c r="C52" s="21" t="str">
        <f>IFERROR(__xludf.DUMMYFUNCTION("""COMPUTED_VALUE"""),"Dorothy Arzner")</f>
        <v>Dorothy Arzner</v>
      </c>
      <c r="D52" s="10" t="str">
        <f>IFERROR(__xludf.DUMMYFUNCTION("""COMPUTED_VALUE"""),"1931")</f>
        <v>1931</v>
      </c>
    </row>
    <row r="53" ht="15.75" customHeight="1">
      <c r="A53" s="9">
        <v>52.0</v>
      </c>
      <c r="B53" s="21" t="str">
        <f>IFERROR(__xludf.DUMMYFUNCTION("""COMPUTED_VALUE"""),"The Blue Light (Das blaue Licht))")</f>
        <v>The Blue Light (Das blaue Licht))</v>
      </c>
      <c r="C53" s="21" t="str">
        <f>IFERROR(__xludf.DUMMYFUNCTION("""COMPUTED_VALUE"""),"Leni Riefenstahl")</f>
        <v>Leni Riefenstahl</v>
      </c>
      <c r="D53" s="21" t="str">
        <f>IFERROR(__xludf.DUMMYFUNCTION("""COMPUTED_VALUE"""),"1932")</f>
        <v>1932</v>
      </c>
    </row>
    <row r="54" ht="15.75" customHeight="1">
      <c r="A54" s="9">
        <v>53.0</v>
      </c>
      <c r="B54" s="21" t="str">
        <f>IFERROR(__xludf.DUMMYFUNCTION("""COMPUTED_VALUE"""),"Merrily We Go to Hell")</f>
        <v>Merrily We Go to Hell</v>
      </c>
      <c r="C54" s="21" t="str">
        <f>IFERROR(__xludf.DUMMYFUNCTION("""COMPUTED_VALUE"""),"Dorothy Arzner")</f>
        <v>Dorothy Arzner</v>
      </c>
      <c r="D54" s="21" t="str">
        <f>IFERROR(__xludf.DUMMYFUNCTION("""COMPUTED_VALUE"""),"1932")</f>
        <v>1932</v>
      </c>
    </row>
    <row r="55" ht="15.75" customHeight="1">
      <c r="A55" s="9">
        <v>54.0</v>
      </c>
      <c r="B55" s="21" t="str">
        <f>IFERROR(__xludf.DUMMYFUNCTION("""COMPUTED_VALUE"""),"Christopher Strong")</f>
        <v>Christopher Strong</v>
      </c>
      <c r="C55" s="21" t="str">
        <f>IFERROR(__xludf.DUMMYFUNCTION("""COMPUTED_VALUE"""),"Dorothy Arzner")</f>
        <v>Dorothy Arzner</v>
      </c>
      <c r="D55" s="21" t="str">
        <f>IFERROR(__xludf.DUMMYFUNCTION("""COMPUTED_VALUE"""),"1933")</f>
        <v>1933</v>
      </c>
    </row>
    <row r="56" ht="15.75" customHeight="1">
      <c r="A56" s="9">
        <v>55.0</v>
      </c>
      <c r="B56" s="21" t="str">
        <f>IFERROR(__xludf.DUMMYFUNCTION("""COMPUTED_VALUE"""),"Nana")</f>
        <v>Nana</v>
      </c>
      <c r="C56" s="21" t="str">
        <f>IFERROR(__xludf.DUMMYFUNCTION("""COMPUTED_VALUE"""),"Dorothy Arzner")</f>
        <v>Dorothy Arzner</v>
      </c>
      <c r="D56" s="21" t="str">
        <f>IFERROR(__xludf.DUMMYFUNCTION("""COMPUTED_VALUE"""),"1934")</f>
        <v>1934</v>
      </c>
    </row>
    <row r="57" ht="15.75" customHeight="1">
      <c r="A57" s="9">
        <v>56.0</v>
      </c>
      <c r="B57" s="21" t="str">
        <f>IFERROR(__xludf.DUMMYFUNCTION("""COMPUTED_VALUE"""),"Robin Hood (animated film)")</f>
        <v>Robin Hood (animated film)</v>
      </c>
      <c r="C57" s="21" t="str">
        <f>IFERROR(__xludf.DUMMYFUNCTION("""COMPUTED_VALUE"""),"Joy Batchelor")</f>
        <v>Joy Batchelor</v>
      </c>
      <c r="D57" s="21" t="str">
        <f>IFERROR(__xludf.DUMMYFUNCTION("""COMPUTED_VALUE"""),"1935")</f>
        <v>1935</v>
      </c>
    </row>
    <row r="58" ht="15.75" customHeight="1">
      <c r="A58" s="9">
        <v>57.0</v>
      </c>
      <c r="B58" s="21" t="str">
        <f>IFERROR(__xludf.DUMMYFUNCTION("""COMPUTED_VALUE"""),"Triumph of the Will (Triumph des Willens)")</f>
        <v>Triumph of the Will (Triumph des Willens)</v>
      </c>
      <c r="C58" s="21" t="str">
        <f>IFERROR(__xludf.DUMMYFUNCTION("""COMPUTED_VALUE"""),"Leni Riefenstahl")</f>
        <v>Leni Riefenstahl</v>
      </c>
      <c r="D58" s="21" t="str">
        <f>IFERROR(__xludf.DUMMYFUNCTION("""COMPUTED_VALUE"""),"1935")</f>
        <v>1935</v>
      </c>
    </row>
    <row r="59" ht="15.75" customHeight="1">
      <c r="A59" s="9">
        <v>58.0</v>
      </c>
      <c r="B59" s="21" t="str">
        <f>IFERROR(__xludf.DUMMYFUNCTION("""COMPUTED_VALUE"""),"Craig's Wife")</f>
        <v>Craig's Wife</v>
      </c>
      <c r="C59" s="21" t="str">
        <f>IFERROR(__xludf.DUMMYFUNCTION("""COMPUTED_VALUE"""),"Dorothy Arzner")</f>
        <v>Dorothy Arzner</v>
      </c>
      <c r="D59" s="21" t="str">
        <f>IFERROR(__xludf.DUMMYFUNCTION("""COMPUTED_VALUE"""),"1936")</f>
        <v>1936</v>
      </c>
    </row>
    <row r="60" ht="15.75" customHeight="1">
      <c r="A60" s="9">
        <v>59.0</v>
      </c>
      <c r="B60" s="21" t="str">
        <f>IFERROR(__xludf.DUMMYFUNCTION("""COMPUTED_VALUE"""),"New Clothing (Hatsu Sugata)")</f>
        <v>New Clothing (Hatsu Sugata)</v>
      </c>
      <c r="C60" s="21" t="str">
        <f>IFERROR(__xludf.DUMMYFUNCTION("""COMPUTED_VALUE"""),"Tazuko Sakane")</f>
        <v>Tazuko Sakane</v>
      </c>
      <c r="D60" s="21" t="str">
        <f>IFERROR(__xludf.DUMMYFUNCTION("""COMPUTED_VALUE"""),"1936")</f>
        <v>1936</v>
      </c>
    </row>
    <row r="61" ht="15.75" customHeight="1">
      <c r="A61" s="9">
        <v>60.0</v>
      </c>
      <c r="B61" s="21" t="str">
        <f>IFERROR(__xludf.DUMMYFUNCTION("""COMPUTED_VALUE"""),"Onnenpotku")</f>
        <v>Onnenpotku</v>
      </c>
      <c r="C61" s="21" t="str">
        <f>IFERROR(__xludf.DUMMYFUNCTION("""COMPUTED_VALUE"""),"Glory Leppänen")</f>
        <v>Glory Leppänen</v>
      </c>
      <c r="D61" s="21" t="str">
        <f>IFERROR(__xludf.DUMMYFUNCTION("""COMPUTED_VALUE"""),"1936")</f>
        <v>1936</v>
      </c>
      <c r="E61" s="21" t="s">
        <v>1744</v>
      </c>
      <c r="F61" s="21" t="s">
        <v>1744</v>
      </c>
    </row>
    <row r="62" ht="15.75" customHeight="1">
      <c r="A62" s="9">
        <v>61.0</v>
      </c>
      <c r="B62" s="21" t="str">
        <f>IFERROR(__xludf.DUMMYFUNCTION("""COMPUTED_VALUE"""),"The Bride Wore Red")</f>
        <v>The Bride Wore Red</v>
      </c>
      <c r="C62" s="21" t="str">
        <f>IFERROR(__xludf.DUMMYFUNCTION("""COMPUTED_VALUE"""),"Dorothy Arzner")</f>
        <v>Dorothy Arzner</v>
      </c>
      <c r="D62" s="21" t="str">
        <f>IFERROR(__xludf.DUMMYFUNCTION("""COMPUTED_VALUE"""),"1937")</f>
        <v>1937</v>
      </c>
    </row>
    <row r="63" ht="15.75" customHeight="1">
      <c r="A63" s="9">
        <v>62.0</v>
      </c>
      <c r="B63" s="21" t="str">
        <f>IFERROR(__xludf.DUMMYFUNCTION("""COMPUTED_VALUE"""),"Olympia (1938 film)")</f>
        <v>Olympia (1938 film)</v>
      </c>
      <c r="C63" s="21" t="str">
        <f>IFERROR(__xludf.DUMMYFUNCTION("""COMPUTED_VALUE"""),"Leni Riefenstahl")</f>
        <v>Leni Riefenstahl</v>
      </c>
      <c r="D63" s="21" t="str">
        <f>IFERROR(__xludf.DUMMYFUNCTION("""COMPUTED_VALUE"""),"1938")</f>
        <v>1938</v>
      </c>
    </row>
    <row r="64" ht="15.75" customHeight="1">
      <c r="A64" s="9">
        <v>63.0</v>
      </c>
      <c r="B64" s="21" t="str">
        <f>IFERROR(__xludf.DUMMYFUNCTION("""COMPUTED_VALUE"""),"Dance, Girl, Dance")</f>
        <v>Dance, Girl, Dance</v>
      </c>
      <c r="C64" s="21" t="str">
        <f>IFERROR(__xludf.DUMMYFUNCTION("""COMPUTED_VALUE"""),"Dorothy Arzner")</f>
        <v>Dorothy Arzner</v>
      </c>
      <c r="D64" s="21" t="str">
        <f>IFERROR(__xludf.DUMMYFUNCTION("""COMPUTED_VALUE"""),"1940")</f>
        <v>1940</v>
      </c>
    </row>
    <row r="65" ht="15.75" customHeight="1">
      <c r="A65" s="9">
        <v>64.0</v>
      </c>
      <c r="B65" s="21" t="str">
        <f>IFERROR(__xludf.DUMMYFUNCTION("""COMPUTED_VALUE"""),"Derailed (Afsporet)")</f>
        <v>Derailed (Afsporet)</v>
      </c>
      <c r="C65" s="21" t="str">
        <f>IFERROR(__xludf.DUMMYFUNCTION("""COMPUTED_VALUE"""),"Bodil Ipsen")</f>
        <v>Bodil Ipsen</v>
      </c>
      <c r="D65" s="21" t="str">
        <f>IFERROR(__xludf.DUMMYFUNCTION("""COMPUTED_VALUE"""),"1942")</f>
        <v>1942</v>
      </c>
    </row>
    <row r="66" ht="15.75" customHeight="1">
      <c r="A66" s="9">
        <v>65.0</v>
      </c>
      <c r="B66" s="21" t="str">
        <f>IFERROR(__xludf.DUMMYFUNCTION("""COMPUTED_VALUE"""),"Meshes of the Afternoon")</f>
        <v>Meshes of the Afternoon</v>
      </c>
      <c r="C66" s="21" t="str">
        <f>IFERROR(__xludf.DUMMYFUNCTION("""COMPUTED_VALUE"""),"Maya Deren")</f>
        <v>Maya Deren</v>
      </c>
      <c r="D66" s="21" t="str">
        <f>IFERROR(__xludf.DUMMYFUNCTION("""COMPUTED_VALUE"""),"1943")</f>
        <v>1943</v>
      </c>
    </row>
    <row r="67" ht="15.75" customHeight="1">
      <c r="A67" s="9">
        <v>66.0</v>
      </c>
      <c r="B67" s="21" t="str">
        <f>IFERROR(__xludf.DUMMYFUNCTION("""COMPUTED_VALUE"""),"First Comes Courage")</f>
        <v>First Comes Courage</v>
      </c>
      <c r="C67" s="21" t="str">
        <f>IFERROR(__xludf.DUMMYFUNCTION("""COMPUTED_VALUE"""),"Dorothy Arzner")</f>
        <v>Dorothy Arzner</v>
      </c>
      <c r="D67" s="21" t="str">
        <f>IFERROR(__xludf.DUMMYFUNCTION("""COMPUTED_VALUE"""),"1943")</f>
        <v>1943</v>
      </c>
    </row>
    <row r="68" ht="15.75" customHeight="1">
      <c r="A68" s="9">
        <v>67.0</v>
      </c>
      <c r="B68" s="21" t="str">
        <f>IFERROR(__xludf.DUMMYFUNCTION("""COMPUTED_VALUE"""),"At Land")</f>
        <v>At Land</v>
      </c>
      <c r="C68" s="21" t="str">
        <f>IFERROR(__xludf.DUMMYFUNCTION("""COMPUTED_VALUE"""),"Maya Deren")</f>
        <v>Maya Deren</v>
      </c>
      <c r="D68" s="21" t="str">
        <f>IFERROR(__xludf.DUMMYFUNCTION("""COMPUTED_VALUE"""),"1944")</f>
        <v>1944</v>
      </c>
    </row>
    <row r="69" ht="15.75" customHeight="1">
      <c r="A69" s="9">
        <v>68.0</v>
      </c>
      <c r="B69" s="21" t="str">
        <f>IFERROR(__xludf.DUMMYFUNCTION("""COMPUTED_VALUE"""),"Melody of Murder (Mordets Melodi))")</f>
        <v>Melody of Murder (Mordets Melodi))</v>
      </c>
      <c r="C69" s="21" t="str">
        <f>IFERROR(__xludf.DUMMYFUNCTION("""COMPUTED_VALUE"""),"Bodil Ipsen")</f>
        <v>Bodil Ipsen</v>
      </c>
      <c r="D69" s="21" t="str">
        <f>IFERROR(__xludf.DUMMYFUNCTION("""COMPUTED_VALUE"""),"1944")</f>
        <v>1944</v>
      </c>
    </row>
    <row r="70" ht="15.75" customHeight="1">
      <c r="A70" s="9">
        <v>69.0</v>
      </c>
      <c r="B70" s="21" t="str">
        <f>IFERROR(__xludf.DUMMYFUNCTION("""COMPUTED_VALUE"""),"Possession (Besættelse)")</f>
        <v>Possession (Besættelse)</v>
      </c>
      <c r="C70" s="21" t="str">
        <f>IFERROR(__xludf.DUMMYFUNCTION("""COMPUTED_VALUE"""),"Bodil Ipsen")</f>
        <v>Bodil Ipsen</v>
      </c>
      <c r="D70" s="21" t="str">
        <f>IFERROR(__xludf.DUMMYFUNCTION("""COMPUTED_VALUE"""),"1944")</f>
        <v>1944</v>
      </c>
    </row>
    <row r="71" ht="15.75" customHeight="1">
      <c r="A71" s="9">
        <v>70.0</v>
      </c>
      <c r="B71" s="21" t="str">
        <f>IFERROR(__xludf.DUMMYFUNCTION("""COMPUTED_VALUE"""),"Woman is the Wild Card")</f>
        <v>Woman is the Wild Card</v>
      </c>
      <c r="C71" s="21" t="str">
        <f>IFERROR(__xludf.DUMMYFUNCTION("""COMPUTED_VALUE"""),"Ansa Ikonen")</f>
        <v>Ansa Ikonen</v>
      </c>
      <c r="D71" s="21" t="str">
        <f>IFERROR(__xludf.DUMMYFUNCTION("""COMPUTED_VALUE"""),"1944")</f>
        <v>1944</v>
      </c>
    </row>
    <row r="72" ht="15.75" customHeight="1">
      <c r="A72" s="9">
        <v>71.0</v>
      </c>
      <c r="B72" s="21" t="str">
        <f>IFERROR(__xludf.DUMMYFUNCTION("""COMPUTED_VALUE"""),"Três Dias Sem Deus")</f>
        <v>Três Dias Sem Deus</v>
      </c>
      <c r="C72" s="21" t="str">
        <f>IFERROR(__xludf.DUMMYFUNCTION("""COMPUTED_VALUE"""),"Bárbara Virgínia")</f>
        <v>Bárbara Virgínia</v>
      </c>
      <c r="D72" s="21" t="str">
        <f>IFERROR(__xludf.DUMMYFUNCTION("""COMPUTED_VALUE"""),"1945")</f>
        <v>1945</v>
      </c>
    </row>
    <row r="73" ht="15.75" customHeight="1">
      <c r="A73" s="9">
        <v>72.0</v>
      </c>
      <c r="B73" s="21" t="str">
        <f>IFERROR(__xludf.DUMMYFUNCTION("""COMPUTED_VALUE"""),"Ritual in Transfigured Time")</f>
        <v>Ritual in Transfigured Time</v>
      </c>
      <c r="C73" s="21" t="str">
        <f>IFERROR(__xludf.DUMMYFUNCTION("""COMPUTED_VALUE"""),"Maya Deren")</f>
        <v>Maya Deren</v>
      </c>
      <c r="D73" s="21" t="str">
        <f>IFERROR(__xludf.DUMMYFUNCTION("""COMPUTED_VALUE"""),"1946")</f>
        <v>1946</v>
      </c>
    </row>
    <row r="74" ht="15.75" customHeight="1">
      <c r="A74" s="9">
        <v>73.0</v>
      </c>
      <c r="B74" s="21" t="str">
        <f>IFERROR(__xludf.DUMMYFUNCTION("""COMPUTED_VALUE"""),"Wedding Night (Bröllopsnatten))")</f>
        <v>Wedding Night (Bröllopsnatten))</v>
      </c>
      <c r="C74" s="21" t="str">
        <f>IFERROR(__xludf.DUMMYFUNCTION("""COMPUTED_VALUE"""),"Bodil Ipsen")</f>
        <v>Bodil Ipsen</v>
      </c>
      <c r="D74" s="21" t="str">
        <f>IFERROR(__xludf.DUMMYFUNCTION("""COMPUTED_VALUE"""),"1947")</f>
        <v>1947</v>
      </c>
    </row>
    <row r="75" ht="15.75" customHeight="1">
      <c r="A75" s="9">
        <v>74.0</v>
      </c>
      <c r="B75" s="21" t="str">
        <f>IFERROR(__xludf.DUMMYFUNCTION("""COMPUTED_VALUE"""),"Fedakar Ana")</f>
        <v>Fedakar Ana</v>
      </c>
      <c r="C75" s="21" t="str">
        <f>IFERROR(__xludf.DUMMYFUNCTION("""COMPUTED_VALUE"""),"Cahide Sonku")</f>
        <v>Cahide Sonku</v>
      </c>
      <c r="D75" s="21" t="str">
        <f>IFERROR(__xludf.DUMMYFUNCTION("""COMPUTED_VALUE"""),"1949")</f>
        <v>1949</v>
      </c>
    </row>
    <row r="76" ht="15.75" customHeight="1">
      <c r="A76" s="9">
        <v>75.0</v>
      </c>
      <c r="B76" s="21" t="str">
        <f>IFERROR(__xludf.DUMMYFUNCTION("""COMPUTED_VALUE"""),"Gigi")</f>
        <v>Gigi</v>
      </c>
      <c r="C76" s="21" t="str">
        <f>IFERROR(__xludf.DUMMYFUNCTION("""COMPUTED_VALUE"""),"Jacqueline Audry")</f>
        <v>Jacqueline Audry</v>
      </c>
      <c r="D76" s="21" t="str">
        <f>IFERROR(__xludf.DUMMYFUNCTION("""COMPUTED_VALUE"""),"1949")</f>
        <v>1949</v>
      </c>
    </row>
    <row r="77" ht="15.75" customHeight="1">
      <c r="A77" s="9">
        <v>76.0</v>
      </c>
      <c r="B77" s="21" t="str">
        <f>IFERROR(__xludf.DUMMYFUNCTION("""COMPUTED_VALUE"""),"The Lost People")</f>
        <v>The Lost People</v>
      </c>
      <c r="C77" s="21" t="str">
        <f>IFERROR(__xludf.DUMMYFUNCTION("""COMPUTED_VALUE"""),"Muriel Box")</f>
        <v>Muriel Box</v>
      </c>
      <c r="D77" s="21" t="str">
        <f>IFERROR(__xludf.DUMMYFUNCTION("""COMPUTED_VALUE"""),"1949")</f>
        <v>1949</v>
      </c>
    </row>
    <row r="78" ht="15.75" customHeight="1">
      <c r="A78" s="9">
        <v>77.0</v>
      </c>
      <c r="B78" s="21" t="str">
        <f>IFERROR(__xludf.DUMMYFUNCTION("""COMPUTED_VALUE"""),"Not Wanted")</f>
        <v>Not Wanted</v>
      </c>
      <c r="C78" s="21" t="str">
        <f>IFERROR(__xludf.DUMMYFUNCTION("""COMPUTED_VALUE"""),"Ida Lupino")</f>
        <v>Ida Lupino</v>
      </c>
      <c r="D78" s="21" t="str">
        <f>IFERROR(__xludf.DUMMYFUNCTION("""COMPUTED_VALUE"""),"1949")</f>
        <v>1949</v>
      </c>
    </row>
    <row r="79" ht="15.75" customHeight="1">
      <c r="A79" s="9">
        <v>78.0</v>
      </c>
      <c r="B79" s="21" t="str">
        <f>IFERROR(__xludf.DUMMYFUNCTION("""COMPUTED_VALUE"""),"Never Fear")</f>
        <v>Never Fear</v>
      </c>
      <c r="C79" s="21" t="str">
        <f>IFERROR(__xludf.DUMMYFUNCTION("""COMPUTED_VALUE"""),"Ida Lupino")</f>
        <v>Ida Lupino</v>
      </c>
      <c r="D79" s="21" t="str">
        <f>IFERROR(__xludf.DUMMYFUNCTION("""COMPUTED_VALUE"""),"1949")</f>
        <v>1949</v>
      </c>
    </row>
    <row r="80" ht="15.75" customHeight="1">
      <c r="A80" s="9">
        <v>79.0</v>
      </c>
      <c r="B80" s="21" t="str">
        <f>IFERROR(__xludf.DUMMYFUNCTION("""COMPUTED_VALUE"""),"Outrage")</f>
        <v>Outrage</v>
      </c>
      <c r="C80" s="21" t="str">
        <f>IFERROR(__xludf.DUMMYFUNCTION("""COMPUTED_VALUE"""),"Ida Lupino")</f>
        <v>Ida Lupino</v>
      </c>
      <c r="D80" s="21" t="str">
        <f>IFERROR(__xludf.DUMMYFUNCTION("""COMPUTED_VALUE"""),"1950")</f>
        <v>1950</v>
      </c>
    </row>
    <row r="81" ht="15.75" customHeight="1">
      <c r="A81" s="9">
        <v>80.0</v>
      </c>
      <c r="B81" s="21" t="str">
        <f>IFERROR(__xludf.DUMMYFUNCTION("""COMPUTED_VALUE"""),"Hard, Fast and Beautiful")</f>
        <v>Hard, Fast and Beautiful</v>
      </c>
      <c r="C81" s="21" t="str">
        <f>IFERROR(__xludf.DUMMYFUNCTION("""COMPUTED_VALUE"""),"Ida Lupino")</f>
        <v>Ida Lupino</v>
      </c>
      <c r="D81" s="21" t="str">
        <f>IFERROR(__xludf.DUMMYFUNCTION("""COMPUTED_VALUE"""),"1951")</f>
        <v>1951</v>
      </c>
    </row>
    <row r="82" ht="15.75" customHeight="1">
      <c r="A82" s="9">
        <v>81.0</v>
      </c>
      <c r="B82" s="21" t="str">
        <f>IFERROR(__xludf.DUMMYFUNCTION("""COMPUTED_VALUE"""),"Olivia")</f>
        <v>Olivia</v>
      </c>
      <c r="C82" s="21" t="str">
        <f>IFERROR(__xludf.DUMMYFUNCTION("""COMPUTED_VALUE"""),"Jacqueline Audry")</f>
        <v>Jacqueline Audry</v>
      </c>
      <c r="D82" s="21" t="str">
        <f>IFERROR(__xludf.DUMMYFUNCTION("""COMPUTED_VALUE"""),"1951")</f>
        <v>1951</v>
      </c>
    </row>
    <row r="83" ht="15.75" customHeight="1">
      <c r="A83" s="9">
        <v>82.0</v>
      </c>
      <c r="B83" s="21" t="str">
        <f>IFERROR(__xludf.DUMMYFUNCTION("""COMPUTED_VALUE"""),"Streetwalker")</f>
        <v>Streetwalker</v>
      </c>
      <c r="C83" s="21" t="str">
        <f>IFERROR(__xludf.DUMMYFUNCTION("""COMPUTED_VALUE"""),"Matilde Landeta")</f>
        <v>Matilde Landeta</v>
      </c>
      <c r="D83" s="21" t="str">
        <f>IFERROR(__xludf.DUMMYFUNCTION("""COMPUTED_VALUE"""),"1951")</f>
        <v>1951</v>
      </c>
    </row>
    <row r="84" ht="15.75" customHeight="1">
      <c r="A84" s="9">
        <v>83.0</v>
      </c>
      <c r="B84" s="21" t="str">
        <f>IFERROR(__xludf.DUMMYFUNCTION("""COMPUTED_VALUE"""),"The Happy Family")</f>
        <v>The Happy Family</v>
      </c>
      <c r="C84" s="21" t="str">
        <f>IFERROR(__xludf.DUMMYFUNCTION("""COMPUTED_VALUE"""),"Muriel Box")</f>
        <v>Muriel Box</v>
      </c>
      <c r="D84" s="21" t="str">
        <f>IFERROR(__xludf.DUMMYFUNCTION("""COMPUTED_VALUE"""),"1952")</f>
        <v>1952</v>
      </c>
    </row>
    <row r="85" ht="15.75" customHeight="1">
      <c r="A85" s="9">
        <v>84.0</v>
      </c>
      <c r="B85" s="21" t="str">
        <f>IFERROR(__xludf.DUMMYFUNCTION("""COMPUTED_VALUE"""),"The Bigamist")</f>
        <v>The Bigamist</v>
      </c>
      <c r="C85" s="21" t="str">
        <f>IFERROR(__xludf.DUMMYFUNCTION("""COMPUTED_VALUE"""),"Ida Lupino")</f>
        <v>Ida Lupino</v>
      </c>
      <c r="D85" s="21" t="str">
        <f>IFERROR(__xludf.DUMMYFUNCTION("""COMPUTED_VALUE"""),"1953")</f>
        <v>1953</v>
      </c>
    </row>
    <row r="86" ht="15.75" customHeight="1">
      <c r="A86" s="9">
        <v>85.0</v>
      </c>
      <c r="B86" s="21" t="str">
        <f>IFERROR(__xludf.DUMMYFUNCTION("""COMPUTED_VALUE"""),"The Hitch-Hiker")</f>
        <v>The Hitch-Hiker</v>
      </c>
      <c r="C86" s="21" t="str">
        <f>IFERROR(__xludf.DUMMYFUNCTION("""COMPUTED_VALUE"""),"Ida Lupino")</f>
        <v>Ida Lupino</v>
      </c>
      <c r="D86" s="21" t="str">
        <f>IFERROR(__xludf.DUMMYFUNCTION("""COMPUTED_VALUE"""),"1953")</f>
        <v>1953</v>
      </c>
    </row>
    <row r="87" ht="15.75" customHeight="1">
      <c r="A87" s="9">
        <v>86.0</v>
      </c>
      <c r="B87" s="21" t="str">
        <f>IFERROR(__xludf.DUMMYFUNCTION("""COMPUTED_VALUE"""),"Street Corner")</f>
        <v>Street Corner</v>
      </c>
      <c r="C87" s="21" t="str">
        <f>IFERROR(__xludf.DUMMYFUNCTION("""COMPUTED_VALUE"""),"Muriel Box")</f>
        <v>Muriel Box</v>
      </c>
      <c r="D87" s="21" t="str">
        <f>IFERROR(__xludf.DUMMYFUNCTION("""COMPUTED_VALUE"""),"1953")</f>
        <v>1953</v>
      </c>
    </row>
    <row r="88" ht="15.75" customHeight="1">
      <c r="A88" s="9">
        <v>87.0</v>
      </c>
      <c r="B88" s="21" t="str">
        <f>IFERROR(__xludf.DUMMYFUNCTION("""COMPUTED_VALUE"""),"Animal Farm")</f>
        <v>Animal Farm</v>
      </c>
      <c r="C88" s="21" t="str">
        <f>IFERROR(__xludf.DUMMYFUNCTION("""COMPUTED_VALUE"""),"Joy Batchelor")</f>
        <v>Joy Batchelor</v>
      </c>
      <c r="D88" s="21" t="str">
        <f>IFERROR(__xludf.DUMMYFUNCTION("""COMPUTED_VALUE"""),"1954")</f>
        <v>1954</v>
      </c>
    </row>
    <row r="89" ht="15.75" customHeight="1">
      <c r="A89" s="9">
        <v>88.0</v>
      </c>
      <c r="B89" s="21" t="str">
        <f>IFERROR(__xludf.DUMMYFUNCTION("""COMPUTED_VALUE"""),"The Eternal Breasts")</f>
        <v>The Eternal Breasts</v>
      </c>
      <c r="C89" s="21" t="str">
        <f>IFERROR(__xludf.DUMMYFUNCTION("""COMPUTED_VALUE"""),"Kinuyo Tanaka")</f>
        <v>Kinuyo Tanaka</v>
      </c>
      <c r="D89" s="21" t="str">
        <f>IFERROR(__xludf.DUMMYFUNCTION("""COMPUTED_VALUE"""),"1955")</f>
        <v>1955</v>
      </c>
    </row>
    <row r="90" ht="15.75" customHeight="1">
      <c r="A90" s="9">
        <v>89.0</v>
      </c>
      <c r="B90" s="21" t="str">
        <f>IFERROR(__xludf.DUMMYFUNCTION("""COMPUTED_VALUE"""),"La Pointe Courte")</f>
        <v>La Pointe Courte</v>
      </c>
      <c r="C90" s="21" t="str">
        <f>IFERROR(__xludf.DUMMYFUNCTION("""COMPUTED_VALUE"""),"Agnès Varda")</f>
        <v>Agnès Varda</v>
      </c>
      <c r="D90" s="21" t="str">
        <f>IFERROR(__xludf.DUMMYFUNCTION("""COMPUTED_VALUE"""),"1955")</f>
        <v>1955</v>
      </c>
    </row>
    <row r="91" ht="15.75" customHeight="1">
      <c r="A91" s="9">
        <v>90.0</v>
      </c>
      <c r="B91" s="21" t="str">
        <f>IFERROR(__xludf.DUMMYFUNCTION("""COMPUTED_VALUE"""),"Life Flows Quietly By...")</f>
        <v>Life Flows Quietly By...</v>
      </c>
      <c r="C91" s="21" t="str">
        <f>IFERROR(__xludf.DUMMYFUNCTION("""COMPUTED_VALUE"""),"Binka Zhelyazkova")</f>
        <v>Binka Zhelyazkova</v>
      </c>
      <c r="D91" s="21" t="str">
        <f>IFERROR(__xludf.DUMMYFUNCTION("""COMPUTED_VALUE"""),"1957")</f>
        <v>1957</v>
      </c>
    </row>
    <row r="92" ht="15.75" customHeight="1">
      <c r="A92" s="9">
        <v>91.0</v>
      </c>
      <c r="B92" s="21" t="str">
        <f>IFERROR(__xludf.DUMMYFUNCTION("""COMPUTED_VALUE"""),"Bridges Go-Round")</f>
        <v>Bridges Go-Round</v>
      </c>
      <c r="C92" s="21" t="str">
        <f>IFERROR(__xludf.DUMMYFUNCTION("""COMPUTED_VALUE"""),"Shirley Clarke")</f>
        <v>Shirley Clarke</v>
      </c>
      <c r="D92" s="21" t="str">
        <f>IFERROR(__xludf.DUMMYFUNCTION("""COMPUTED_VALUE"""),"1959")</f>
        <v>1959</v>
      </c>
    </row>
    <row r="93" ht="15.75" customHeight="1">
      <c r="A93" s="9">
        <v>92.0</v>
      </c>
      <c r="B93" s="21" t="str">
        <f>IFERROR(__xludf.DUMMYFUNCTION("""COMPUTED_VALUE"""),"Cléo from 5 to 7 (Cléo de 5 à 7)")</f>
        <v>Cléo from 5 to 7 (Cléo de 5 à 7)</v>
      </c>
      <c r="C93" s="21" t="str">
        <f>IFERROR(__xludf.DUMMYFUNCTION("""COMPUTED_VALUE"""),"Agnès Varda")</f>
        <v>Agnès Varda</v>
      </c>
      <c r="D93" s="21" t="str">
        <f>IFERROR(__xludf.DUMMYFUNCTION("""COMPUTED_VALUE"""),"1961")</f>
        <v>1961</v>
      </c>
    </row>
    <row r="94" ht="15.75" customHeight="1">
      <c r="A94" s="9">
        <v>93.0</v>
      </c>
      <c r="B94" s="21" t="str">
        <f>IFERROR(__xludf.DUMMYFUNCTION("""COMPUTED_VALUE"""),"The Connection")</f>
        <v>The Connection</v>
      </c>
      <c r="C94" s="21" t="str">
        <f>IFERROR(__xludf.DUMMYFUNCTION("""COMPUTED_VALUE"""),"Shirley Clarke")</f>
        <v>Shirley Clarke</v>
      </c>
      <c r="D94" s="21" t="str">
        <f>IFERROR(__xludf.DUMMYFUNCTION("""COMPUTED_VALUE"""),"1961")</f>
        <v>1961</v>
      </c>
    </row>
    <row r="95" ht="15.75" customHeight="1">
      <c r="A95" s="9">
        <v>94.0</v>
      </c>
      <c r="B95" s="21" t="str">
        <f>IFERROR(__xludf.DUMMYFUNCTION("""COMPUTED_VALUE"""),"The Golden Calf")</f>
        <v>The Golden Calf</v>
      </c>
      <c r="C95" s="21" t="str">
        <f>IFERROR(__xludf.DUMMYFUNCTION("""COMPUTED_VALUE"""),"Ritva Arvelo")</f>
        <v>Ritva Arvelo</v>
      </c>
      <c r="D95" s="21" t="str">
        <f>IFERROR(__xludf.DUMMYFUNCTION("""COMPUTED_VALUE"""),"1961")</f>
        <v>1961</v>
      </c>
    </row>
    <row r="96" ht="15.75" customHeight="1">
      <c r="A96" s="9">
        <v>95.0</v>
      </c>
      <c r="B96" s="21" t="str">
        <f>IFERROR(__xludf.DUMMYFUNCTION("""COMPUTED_VALUE"""),"Les Petits Matins")</f>
        <v>Les Petits Matins</v>
      </c>
      <c r="C96" s="21" t="str">
        <f>IFERROR(__xludf.DUMMYFUNCTION("""COMPUTED_VALUE"""),"Jacqueline Audry")</f>
        <v>Jacqueline Audry</v>
      </c>
      <c r="D96" s="21" t="str">
        <f>IFERROR(__xludf.DUMMYFUNCTION("""COMPUTED_VALUE"""),"1962")</f>
        <v>1962</v>
      </c>
    </row>
    <row r="97" ht="15.75" customHeight="1">
      <c r="A97" s="9">
        <v>96.0</v>
      </c>
      <c r="B97" s="21" t="str">
        <f>IFERROR(__xludf.DUMMYFUNCTION("""COMPUTED_VALUE"""),"El Camino")</f>
        <v>El Camino</v>
      </c>
      <c r="C97" s="21" t="str">
        <f>IFERROR(__xludf.DUMMYFUNCTION("""COMPUTED_VALUE"""),"Ana Mariscal")</f>
        <v>Ana Mariscal</v>
      </c>
      <c r="D97" s="21" t="str">
        <f>IFERROR(__xludf.DUMMYFUNCTION("""COMPUTED_VALUE"""),"1963")</f>
        <v>1963</v>
      </c>
    </row>
    <row r="98" ht="15.75" customHeight="1">
      <c r="A98" s="9">
        <v>97.0</v>
      </c>
      <c r="B98" s="21" t="str">
        <f>IFERROR(__xludf.DUMMYFUNCTION("""COMPUTED_VALUE"""),"The House is Black")</f>
        <v>The House is Black</v>
      </c>
      <c r="C98" s="21" t="str">
        <f>IFERROR(__xludf.DUMMYFUNCTION("""COMPUTED_VALUE"""),"Forough Farrokhzad")</f>
        <v>Forough Farrokhzad</v>
      </c>
      <c r="D98" s="21" t="str">
        <f>IFERROR(__xludf.DUMMYFUNCTION("""COMPUTED_VALUE"""),"1963")</f>
        <v>1963</v>
      </c>
    </row>
    <row r="99" ht="15.75" customHeight="1">
      <c r="A99" s="9">
        <v>98.0</v>
      </c>
      <c r="B99" s="21" t="str">
        <f>IFERROR(__xludf.DUMMYFUNCTION("""COMPUTED_VALUE"""),"The Lizards")</f>
        <v>The Lizards</v>
      </c>
      <c r="C99" s="21" t="str">
        <f>IFERROR(__xludf.DUMMYFUNCTION("""COMPUTED_VALUE"""),"Lina Wertmüller")</f>
        <v>Lina Wertmüller</v>
      </c>
      <c r="D99" s="21" t="str">
        <f>IFERROR(__xludf.DUMMYFUNCTION("""COMPUTED_VALUE"""),"1963")</f>
        <v>1963</v>
      </c>
    </row>
    <row r="100" ht="15.75" customHeight="1">
      <c r="A100" s="9">
        <v>99.0</v>
      </c>
      <c r="B100" s="21" t="str">
        <f>IFERROR(__xludf.DUMMYFUNCTION("""COMPUTED_VALUE"""),"The Cool World")</f>
        <v>The Cool World</v>
      </c>
      <c r="C100" s="21" t="str">
        <f>IFERROR(__xludf.DUMMYFUNCTION("""COMPUTED_VALUE"""),"Shirley Clarke")</f>
        <v>Shirley Clarke</v>
      </c>
      <c r="D100" s="21" t="str">
        <f>IFERROR(__xludf.DUMMYFUNCTION("""COMPUTED_VALUE"""),"1964")</f>
        <v>1964</v>
      </c>
    </row>
    <row r="101" ht="15.75" customHeight="1">
      <c r="A101" s="9">
        <v>100.0</v>
      </c>
      <c r="B101" s="21" t="str">
        <f>IFERROR(__xludf.DUMMYFUNCTION("""COMPUTED_VALUE"""),"Älskande par (Loving Couples)")</f>
        <v>Älskande par (Loving Couples)</v>
      </c>
      <c r="C101" s="21" t="str">
        <f>IFERROR(__xludf.DUMMYFUNCTION("""COMPUTED_VALUE"""),"Mai Zetterling")</f>
        <v>Mai Zetterling</v>
      </c>
      <c r="D101" s="21" t="str">
        <f>IFERROR(__xludf.DUMMYFUNCTION("""COMPUTED_VALUE"""),"1964")</f>
        <v>1964</v>
      </c>
    </row>
    <row r="102" ht="15.75" customHeight="1">
      <c r="A102" s="9">
        <v>101.0</v>
      </c>
      <c r="B102" s="21" t="str">
        <f>IFERROR(__xludf.DUMMYFUNCTION("""COMPUTED_VALUE"""),"Le Bonheur")</f>
        <v>Le Bonheur</v>
      </c>
      <c r="C102" s="21" t="str">
        <f>IFERROR(__xludf.DUMMYFUNCTION("""COMPUTED_VALUE"""),"Agnes Varda")</f>
        <v>Agnes Varda</v>
      </c>
      <c r="D102" s="21" t="str">
        <f>IFERROR(__xludf.DUMMYFUNCTION("""COMPUTED_VALUE"""),"1965")</f>
        <v>1965</v>
      </c>
    </row>
    <row r="103" ht="15.75" customHeight="1">
      <c r="A103" s="9">
        <v>102.0</v>
      </c>
      <c r="B103" s="21" t="str">
        <f>IFERROR(__xludf.DUMMYFUNCTION("""COMPUTED_VALUE"""),"The East is Red")</f>
        <v>The East is Red</v>
      </c>
      <c r="C103" s="21" t="str">
        <f>IFERROR(__xludf.DUMMYFUNCTION("""COMPUTED_VALUE"""),"Wang Ping")</f>
        <v>Wang Ping</v>
      </c>
      <c r="D103" s="21" t="str">
        <f>IFERROR(__xludf.DUMMYFUNCTION("""COMPUTED_VALUE"""),"1965")</f>
        <v>1965</v>
      </c>
    </row>
    <row r="104" ht="15.75" customHeight="1">
      <c r="A104" s="9">
        <v>103.0</v>
      </c>
      <c r="B104" s="21" t="str">
        <f>IFERROR(__xludf.DUMMYFUNCTION("""COMPUTED_VALUE"""),"Let's Talk About Shafei (Questa Volta Parliamo di Uomini)")</f>
        <v>Let's Talk About Shafei (Questa Volta Parliamo di Uomini)</v>
      </c>
      <c r="C104" s="21" t="str">
        <f>IFERROR(__xludf.DUMMYFUNCTION("""COMPUTED_VALUE"""),"Lina Wertmüller")</f>
        <v>Lina Wertmüller</v>
      </c>
      <c r="D104" s="21" t="str">
        <f>IFERROR(__xludf.DUMMYFUNCTION("""COMPUTED_VALUE"""),"1965")</f>
        <v>1965</v>
      </c>
    </row>
    <row r="105" ht="15.75" customHeight="1">
      <c r="A105" s="9">
        <v>104.0</v>
      </c>
      <c r="B105" s="21" t="str">
        <f>IFERROR(__xludf.DUMMYFUNCTION("""COMPUTED_VALUE"""),"Blood Bath")</f>
        <v>Blood Bath</v>
      </c>
      <c r="C105" s="21" t="str">
        <f>IFERROR(__xludf.DUMMYFUNCTION("""COMPUTED_VALUE"""),"Stephanie Rothman")</f>
        <v>Stephanie Rothman</v>
      </c>
      <c r="D105" s="21" t="str">
        <f>IFERROR(__xludf.DUMMYFUNCTION("""COMPUTED_VALUE"""),"1966")</f>
        <v>1966</v>
      </c>
    </row>
    <row r="106" ht="15.75" customHeight="1">
      <c r="A106" s="9">
        <v>105.0</v>
      </c>
      <c r="B106" s="21" t="str">
        <f>IFERROR(__xludf.DUMMYFUNCTION("""COMPUTED_VALUE"""),"Daisies (Sedmikrasky)")</f>
        <v>Daisies (Sedmikrasky)</v>
      </c>
      <c r="C106" s="21" t="str">
        <f>IFERROR(__xludf.DUMMYFUNCTION("""COMPUTED_VALUE"""),"Věra Chytilová")</f>
        <v>Věra Chytilová</v>
      </c>
      <c r="D106" s="21" t="str">
        <f>IFERROR(__xludf.DUMMYFUNCTION("""COMPUTED_VALUE"""),"1966")</f>
        <v>1966</v>
      </c>
    </row>
    <row r="107" ht="15.75" customHeight="1">
      <c r="A107" s="9">
        <v>106.0</v>
      </c>
      <c r="B107" s="21" t="str">
        <f>IFERROR(__xludf.DUMMYFUNCTION("""COMPUTED_VALUE"""),"Night Games (Nattlek)")</f>
        <v>Night Games (Nattlek)</v>
      </c>
      <c r="C107" s="21" t="str">
        <f>IFERROR(__xludf.DUMMYFUNCTION("""COMPUTED_VALUE"""),"Mai Zetterling")</f>
        <v>Mai Zetterling</v>
      </c>
      <c r="D107" s="21" t="str">
        <f>IFERROR(__xludf.DUMMYFUNCTION("""COMPUTED_VALUE"""),"1966")</f>
        <v>1966</v>
      </c>
    </row>
    <row r="108" ht="15.75" customHeight="1">
      <c r="A108" s="9">
        <v>107.0</v>
      </c>
      <c r="B108" s="21" t="str">
        <f>IFERROR(__xludf.DUMMYFUNCTION("""COMPUTED_VALUE"""),"Rita the Mosquito")</f>
        <v>Rita the Mosquito</v>
      </c>
      <c r="C108" s="21" t="str">
        <f>IFERROR(__xludf.DUMMYFUNCTION("""COMPUTED_VALUE"""),"Lina Wertmüller")</f>
        <v>Lina Wertmüller</v>
      </c>
      <c r="D108" s="21" t="str">
        <f>IFERROR(__xludf.DUMMYFUNCTION("""COMPUTED_VALUE"""),"1966")</f>
        <v>1966</v>
      </c>
    </row>
    <row r="109" ht="15.75" customHeight="1">
      <c r="A109" s="9">
        <v>108.0</v>
      </c>
      <c r="B109" s="21" t="str">
        <f>IFERROR(__xludf.DUMMYFUNCTION("""COMPUTED_VALUE"""),"Wings")</f>
        <v>Wings</v>
      </c>
      <c r="C109" s="21" t="str">
        <f>IFERROR(__xludf.DUMMYFUNCTION("""COMPUTED_VALUE"""),"Larissa Shepitko")</f>
        <v>Larissa Shepitko</v>
      </c>
      <c r="D109" s="21" t="str">
        <f>IFERROR(__xludf.DUMMYFUNCTION("""COMPUTED_VALUE"""),"1966")</f>
        <v>1966</v>
      </c>
    </row>
    <row r="110" ht="15.75" customHeight="1">
      <c r="A110" s="9">
        <v>109.0</v>
      </c>
      <c r="B110" s="21" t="str">
        <f>IFERROR(__xludf.DUMMYFUNCTION("""COMPUTED_VALUE"""),"Brief Encounters")</f>
        <v>Brief Encounters</v>
      </c>
      <c r="C110" s="21" t="str">
        <f>IFERROR(__xludf.DUMMYFUNCTION("""COMPUTED_VALUE"""),"Kira Muratova")</f>
        <v>Kira Muratova</v>
      </c>
      <c r="D110" s="21" t="str">
        <f>IFERROR(__xludf.DUMMYFUNCTION("""COMPUTED_VALUE"""),"1967")</f>
        <v>1967</v>
      </c>
    </row>
    <row r="111" ht="15.75" customHeight="1">
      <c r="A111" s="9">
        <v>110.0</v>
      </c>
      <c r="B111" s="21" t="str">
        <f>IFERROR(__xludf.DUMMYFUNCTION("""COMPUTED_VALUE"""),"Don't Sting the Mosquito")</f>
        <v>Don't Sting the Mosquito</v>
      </c>
      <c r="C111" s="21" t="str">
        <f>IFERROR(__xludf.DUMMYFUNCTION("""COMPUTED_VALUE"""),"Lina Wertmüller")</f>
        <v>Lina Wertmüller</v>
      </c>
      <c r="D111" s="21" t="str">
        <f>IFERROR(__xludf.DUMMYFUNCTION("""COMPUTED_VALUE"""),"1967")</f>
        <v>1967</v>
      </c>
    </row>
    <row r="112" ht="15.75" customHeight="1">
      <c r="A112" s="9">
        <v>111.0</v>
      </c>
      <c r="B112" s="21" t="str">
        <f>IFERROR(__xludf.DUMMYFUNCTION("""COMPUTED_VALUE"""),"Portrait of Jason")</f>
        <v>Portrait of Jason</v>
      </c>
      <c r="C112" s="21" t="str">
        <f>IFERROR(__xludf.DUMMYFUNCTION("""COMPUTED_VALUE"""),"Shirley Clarke")</f>
        <v>Shirley Clarke</v>
      </c>
      <c r="D112" s="21" t="str">
        <f>IFERROR(__xludf.DUMMYFUNCTION("""COMPUTED_VALUE"""),"1967")</f>
        <v>1967</v>
      </c>
    </row>
    <row r="113" ht="15.75" customHeight="1">
      <c r="A113" s="9">
        <v>112.0</v>
      </c>
      <c r="B113" s="21" t="str">
        <f>IFERROR(__xludf.DUMMYFUNCTION("""COMPUTED_VALUE"""),"The Belle Starr Story")</f>
        <v>The Belle Starr Story</v>
      </c>
      <c r="C113" s="21" t="str">
        <f>IFERROR(__xludf.DUMMYFUNCTION("""COMPUTED_VALUE"""),"Lina Wertmüller")</f>
        <v>Lina Wertmüller</v>
      </c>
      <c r="D113" s="21" t="str">
        <f>IFERROR(__xludf.DUMMYFUNCTION("""COMPUTED_VALUE"""),"1968")</f>
        <v>1968</v>
      </c>
    </row>
    <row r="114" ht="15.75" customHeight="1">
      <c r="A114" s="9">
        <v>113.0</v>
      </c>
      <c r="B114" s="21" t="str">
        <f>IFERROR(__xludf.DUMMYFUNCTION("""COMPUTED_VALUE"""),"Doctor Glas")</f>
        <v>Doctor Glas</v>
      </c>
      <c r="C114" s="21" t="str">
        <f>IFERROR(__xludf.DUMMYFUNCTION("""COMPUTED_VALUE"""),"Mai Zetterling")</f>
        <v>Mai Zetterling</v>
      </c>
      <c r="D114" s="21" t="str">
        <f>IFERROR(__xludf.DUMMYFUNCTION("""COMPUTED_VALUE"""),"1968")</f>
        <v>1968</v>
      </c>
    </row>
    <row r="115" ht="15.75" customHeight="1">
      <c r="A115" s="9">
        <v>114.0</v>
      </c>
      <c r="B115" s="21" t="str">
        <f>IFERROR(__xludf.DUMMYFUNCTION("""COMPUTED_VALUE"""),"The Girls (Flickorna)")</f>
        <v>The Girls (Flickorna)</v>
      </c>
      <c r="C115" s="21" t="str">
        <f>IFERROR(__xludf.DUMMYFUNCTION("""COMPUTED_VALUE"""),"Mai Zetterling")</f>
        <v>Mai Zetterling</v>
      </c>
      <c r="D115" s="21" t="str">
        <f>IFERROR(__xludf.DUMMYFUNCTION("""COMPUTED_VALUE"""),"1968")</f>
        <v>1968</v>
      </c>
    </row>
    <row r="116" ht="15.75" customHeight="1">
      <c r="A116" s="9">
        <v>115.0</v>
      </c>
      <c r="B116" s="21" t="str">
        <f>IFERROR(__xludf.DUMMYFUNCTION("""COMPUTED_VALUE"""),"Rat Life and Diet in North America")</f>
        <v>Rat Life and Diet in North America</v>
      </c>
      <c r="C116" s="21" t="str">
        <f>IFERROR(__xludf.DUMMYFUNCTION("""COMPUTED_VALUE"""),"Joyce Wieland")</f>
        <v>Joyce Wieland</v>
      </c>
      <c r="D116" s="21" t="str">
        <f>IFERROR(__xludf.DUMMYFUNCTION("""COMPUTED_VALUE"""),"1968")</f>
        <v>1968</v>
      </c>
    </row>
    <row r="117" ht="15.75" customHeight="1">
      <c r="A117" s="9">
        <v>116.0</v>
      </c>
      <c r="B117" s="21" t="str">
        <f>IFERROR(__xludf.DUMMYFUNCTION("""COMPUTED_VALUE"""),"A Very Curious Girl (La Fiancée du Pirate)")</f>
        <v>A Very Curious Girl (La Fiancée du Pirate)</v>
      </c>
      <c r="C117" s="21" t="str">
        <f>IFERROR(__xludf.DUMMYFUNCTION("""COMPUTED_VALUE"""),"Nelly Kaplan")</f>
        <v>Nelly Kaplan</v>
      </c>
      <c r="D117" s="21" t="str">
        <f>IFERROR(__xludf.DUMMYFUNCTION("""COMPUTED_VALUE"""),"1969")</f>
        <v>1969</v>
      </c>
    </row>
    <row r="118" ht="15.75" customHeight="1">
      <c r="A118" s="9">
        <v>117.0</v>
      </c>
      <c r="B118" s="21" t="str">
        <f>IFERROR(__xludf.DUMMYFUNCTION("""COMPUTED_VALUE"""),"The Year of the Cannibals")</f>
        <v>The Year of the Cannibals</v>
      </c>
      <c r="C118" s="21" t="str">
        <f>IFERROR(__xludf.DUMMYFUNCTION("""COMPUTED_VALUE"""),"Liliana Cavani")</f>
        <v>Liliana Cavani</v>
      </c>
      <c r="D118" s="21" t="str">
        <f>IFERROR(__xludf.DUMMYFUNCTION("""COMPUTED_VALUE"""),"1969")</f>
        <v>1969</v>
      </c>
    </row>
    <row r="119" ht="15.75" customHeight="1">
      <c r="A119" s="9">
        <v>118.0</v>
      </c>
      <c r="B119" s="21" t="str">
        <f>IFERROR(__xludf.DUMMYFUNCTION("""COMPUTED_VALUE"""),"The Dark Side of Tomorrow")</f>
        <v>The Dark Side of Tomorrow</v>
      </c>
      <c r="C119" s="21" t="str">
        <f>IFERROR(__xludf.DUMMYFUNCTION("""COMPUTED_VALUE"""),"Barbara Peeters")</f>
        <v>Barbara Peeters</v>
      </c>
      <c r="D119" s="21" t="str">
        <f>IFERROR(__xludf.DUMMYFUNCTION("""COMPUTED_VALUE"""),"1970")</f>
        <v>1970</v>
      </c>
    </row>
    <row r="120" ht="15.75" customHeight="1">
      <c r="A120" s="9">
        <v>119.0</v>
      </c>
      <c r="B120" s="21" t="str">
        <f>IFERROR(__xludf.DUMMYFUNCTION("""COMPUTED_VALUE"""),"Wanda")</f>
        <v>Wanda</v>
      </c>
      <c r="C120" s="21" t="str">
        <f>IFERROR(__xludf.DUMMYFUNCTION("""COMPUTED_VALUE"""),"Barbara Loden")</f>
        <v>Barbara Loden</v>
      </c>
      <c r="D120" s="21" t="str">
        <f>IFERROR(__xludf.DUMMYFUNCTION("""COMPUTED_VALUE"""),"1970")</f>
        <v>1970</v>
      </c>
    </row>
    <row r="121" ht="15.75" customHeight="1">
      <c r="A121" s="9">
        <v>120.0</v>
      </c>
      <c r="B121" s="21" t="str">
        <f>IFERROR(__xludf.DUMMYFUNCTION("""COMPUTED_VALUE"""),"Bury Me an Angel")</f>
        <v>Bury Me an Angel</v>
      </c>
      <c r="C121" s="21" t="str">
        <f>IFERROR(__xludf.DUMMYFUNCTION("""COMPUTED_VALUE"""),"Barbara Peeters")</f>
        <v>Barbara Peeters</v>
      </c>
      <c r="D121" s="21" t="str">
        <f>IFERROR(__xludf.DUMMYFUNCTION("""COMPUTED_VALUE"""),"1971")</f>
        <v>1971</v>
      </c>
    </row>
    <row r="122" ht="15.75" customHeight="1">
      <c r="A122" s="9">
        <v>121.0</v>
      </c>
      <c r="B122" s="21" t="str">
        <f>IFERROR(__xludf.DUMMYFUNCTION("""COMPUTED_VALUE"""),"For Women: Chapter 1 (Für Frauen: 1. Kapitel)")</f>
        <v>For Women: Chapter 1 (Für Frauen: 1. Kapitel)</v>
      </c>
      <c r="C122" s="21" t="str">
        <f>IFERROR(__xludf.DUMMYFUNCTION("""COMPUTED_VALUE"""),"Cristina Perincioli")</f>
        <v>Cristina Perincioli</v>
      </c>
      <c r="D122" s="21" t="str">
        <f>IFERROR(__xludf.DUMMYFUNCTION("""COMPUTED_VALUE"""),"1971")</f>
        <v>1971</v>
      </c>
    </row>
    <row r="123" ht="15.75" customHeight="1">
      <c r="A123" s="9">
        <v>122.0</v>
      </c>
      <c r="B123" s="21" t="str">
        <f>IFERROR(__xludf.DUMMYFUNCTION("""COMPUTED_VALUE"""),"The Guest (L'ospite)")</f>
        <v>The Guest (L'ospite)</v>
      </c>
      <c r="C123" s="21" t="str">
        <f>IFERROR(__xludf.DUMMYFUNCTION("""COMPUTED_VALUE"""),"Liliana Cavani")</f>
        <v>Liliana Cavani</v>
      </c>
      <c r="D123" s="21" t="str">
        <f>IFERROR(__xludf.DUMMYFUNCTION("""COMPUTED_VALUE"""),"1971")</f>
        <v>1971</v>
      </c>
    </row>
    <row r="124" ht="15.75" customHeight="1">
      <c r="A124" s="9">
        <v>123.0</v>
      </c>
      <c r="B124" s="21" t="str">
        <f>IFERROR(__xludf.DUMMYFUNCTION("""COMPUTED_VALUE"""),"The Long Farewell")</f>
        <v>The Long Farewell</v>
      </c>
      <c r="C124" s="21" t="str">
        <f>IFERROR(__xludf.DUMMYFUNCTION("""COMPUTED_VALUE"""),"Kira Muratova")</f>
        <v>Kira Muratova</v>
      </c>
      <c r="D124" s="21" t="str">
        <f>IFERROR(__xludf.DUMMYFUNCTION("""COMPUTED_VALUE"""),"1971")</f>
        <v>1971</v>
      </c>
    </row>
    <row r="125" ht="15.75" customHeight="1">
      <c r="A125" s="9">
        <v>124.0</v>
      </c>
      <c r="B125" s="21" t="str">
        <f>IFERROR(__xludf.DUMMYFUNCTION("""COMPUTED_VALUE"""),"A New Leaf")</f>
        <v>A New Leaf</v>
      </c>
      <c r="C125" s="21" t="str">
        <f>IFERROR(__xludf.DUMMYFUNCTION("""COMPUTED_VALUE"""),"Elaine May")</f>
        <v>Elaine May</v>
      </c>
      <c r="D125" s="21" t="str">
        <f>IFERROR(__xludf.DUMMYFUNCTION("""COMPUTED_VALUE"""),"1971")</f>
        <v>1971</v>
      </c>
    </row>
    <row r="126" ht="15.75" customHeight="1">
      <c r="A126" s="9">
        <v>125.0</v>
      </c>
      <c r="B126" s="21" t="str">
        <f>IFERROR(__xludf.DUMMYFUNCTION("""COMPUTED_VALUE"""),"The Woman's Film")</f>
        <v>The Woman's Film</v>
      </c>
      <c r="C126" s="21" t="str">
        <f>IFERROR(__xludf.DUMMYFUNCTION("""COMPUTED_VALUE"""),"Louise Alaimo, Judy Smith")</f>
        <v>Louise Alaimo, Judy Smith</v>
      </c>
      <c r="D126" s="21" t="str">
        <f>IFERROR(__xludf.DUMMYFUNCTION("""COMPUTED_VALUE"""),"1971")</f>
        <v>1971</v>
      </c>
    </row>
    <row r="127" ht="15.75" customHeight="1">
      <c r="A127" s="9">
        <v>126.0</v>
      </c>
      <c r="B127" s="21" t="str">
        <f>IFERROR(__xludf.DUMMYFUNCTION("""COMPUTED_VALUE"""),"The Heartbreak Kid")</f>
        <v>The Heartbreak Kid</v>
      </c>
      <c r="C127" s="21" t="str">
        <f>IFERROR(__xludf.DUMMYFUNCTION("""COMPUTED_VALUE"""),"Elaine May")</f>
        <v>Elaine May</v>
      </c>
      <c r="D127" s="21" t="str">
        <f>IFERROR(__xludf.DUMMYFUNCTION("""COMPUTED_VALUE"""),"1972")</f>
        <v>1972</v>
      </c>
    </row>
    <row r="128" ht="15.75" customHeight="1">
      <c r="A128" s="9">
        <v>127.0</v>
      </c>
      <c r="B128" s="21" t="str">
        <f>IFERROR(__xludf.DUMMYFUNCTION("""COMPUTED_VALUE"""),"The Other Side of the Underneath")</f>
        <v>The Other Side of the Underneath</v>
      </c>
      <c r="C128" s="21" t="str">
        <f>IFERROR(__xludf.DUMMYFUNCTION("""COMPUTED_VALUE"""),"Jane Arden")</f>
        <v>Jane Arden</v>
      </c>
      <c r="D128" s="21" t="str">
        <f>IFERROR(__xludf.DUMMYFUNCTION("""COMPUTED_VALUE"""),"1972")</f>
        <v>1972</v>
      </c>
    </row>
    <row r="129" ht="15.75" customHeight="1">
      <c r="A129" s="9">
        <v>128.0</v>
      </c>
      <c r="B129" s="21" t="str">
        <f>IFERROR(__xludf.DUMMYFUNCTION("""COMPUTED_VALUE"""),"Sambizanga")</f>
        <v>Sambizanga</v>
      </c>
      <c r="C129" s="21" t="str">
        <f>IFERROR(__xludf.DUMMYFUNCTION("""COMPUTED_VALUE"""),"Sarah Maldoror")</f>
        <v>Sarah Maldoror</v>
      </c>
      <c r="D129" s="21" t="str">
        <f>IFERROR(__xludf.DUMMYFUNCTION("""COMPUTED_VALUE"""),"1972")</f>
        <v>1972</v>
      </c>
    </row>
    <row r="130" ht="15.75" customHeight="1">
      <c r="A130" s="9">
        <v>129.0</v>
      </c>
      <c r="B130" s="21" t="str">
        <f>IFERROR(__xludf.DUMMYFUNCTION("""COMPUTED_VALUE"""),"The Seduction of Mimi")</f>
        <v>The Seduction of Mimi</v>
      </c>
      <c r="C130" s="21" t="str">
        <f>IFERROR(__xludf.DUMMYFUNCTION("""COMPUTED_VALUE"""),"Lina Wertmüller")</f>
        <v>Lina Wertmüller</v>
      </c>
      <c r="D130" s="21" t="str">
        <f>IFERROR(__xludf.DUMMYFUNCTION("""COMPUTED_VALUE"""),"1972")</f>
        <v>1972</v>
      </c>
    </row>
    <row r="131" ht="15.75" customHeight="1">
      <c r="A131" s="9">
        <v>130.0</v>
      </c>
      <c r="B131" s="21" t="str">
        <f>IFERROR(__xludf.DUMMYFUNCTION("""COMPUTED_VALUE"""),"Es kommt darauf an, sie zu verändern")</f>
        <v>Es kommt darauf an, sie zu verändern</v>
      </c>
      <c r="C131" s="21" t="str">
        <f>IFERROR(__xludf.DUMMYFUNCTION("""COMPUTED_VALUE"""),"Claudia von Alemann")</f>
        <v>Claudia von Alemann</v>
      </c>
      <c r="D131" s="21" t="str">
        <f>IFERROR(__xludf.DUMMYFUNCTION("""COMPUTED_VALUE"""),"1972")</f>
        <v>1972</v>
      </c>
    </row>
    <row r="132" ht="15.75" customHeight="1">
      <c r="A132" s="9">
        <v>131.0</v>
      </c>
      <c r="B132" s="21" t="str">
        <f>IFERROR(__xludf.DUMMYFUNCTION("""COMPUTED_VALUE"""),"Milarepa")</f>
        <v>Milarepa</v>
      </c>
      <c r="C132" s="21" t="str">
        <f>IFERROR(__xludf.DUMMYFUNCTION("""COMPUTED_VALUE"""),"Liliana Cavani")</f>
        <v>Liliana Cavani</v>
      </c>
      <c r="D132" s="21" t="str">
        <f>IFERROR(__xludf.DUMMYFUNCTION("""COMPUTED_VALUE"""),"1973")</f>
        <v>1973</v>
      </c>
    </row>
    <row r="133" ht="15.75" customHeight="1">
      <c r="A133" s="9">
        <v>132.0</v>
      </c>
      <c r="B133" s="21" t="str">
        <f>IFERROR(__xludf.DUMMYFUNCTION("""COMPUTED_VALUE"""),"The Hour of Liberation Has Arrived")</f>
        <v>The Hour of Liberation Has Arrived</v>
      </c>
      <c r="C133" s="21" t="str">
        <f>IFERROR(__xludf.DUMMYFUNCTION("""COMPUTED_VALUE"""),"Heiny Srour")</f>
        <v>Heiny Srour</v>
      </c>
      <c r="D133" s="21" t="str">
        <f>IFERROR(__xludf.DUMMYFUNCTION("""COMPUTED_VALUE"""),"1974")</f>
        <v>1974</v>
      </c>
    </row>
    <row r="134" ht="15.75" customHeight="1">
      <c r="A134" s="9">
        <v>133.0</v>
      </c>
      <c r="B134" s="21" t="str">
        <f>IFERROR(__xludf.DUMMYFUNCTION("""COMPUTED_VALUE"""),"I, You, He, She (Je Tu Il Elle)")</f>
        <v>I, You, He, She (Je Tu Il Elle)</v>
      </c>
      <c r="C134" s="21" t="str">
        <f>IFERROR(__xludf.DUMMYFUNCTION("""COMPUTED_VALUE"""),"Chantal Akerman")</f>
        <v>Chantal Akerman</v>
      </c>
      <c r="D134" s="21" t="str">
        <f>IFERROR(__xludf.DUMMYFUNCTION("""COMPUTED_VALUE"""),"1974")</f>
        <v>1974</v>
      </c>
    </row>
    <row r="135" ht="15.75" customHeight="1">
      <c r="A135" s="9">
        <v>134.0</v>
      </c>
      <c r="B135" s="21" t="str">
        <f>IFERROR(__xludf.DUMMYFUNCTION("""COMPUTED_VALUE"""),"The Night Porter (Il Portiere di Notte)")</f>
        <v>The Night Porter (Il Portiere di Notte)</v>
      </c>
      <c r="C135" s="21" t="str">
        <f>IFERROR(__xludf.DUMMYFUNCTION("""COMPUTED_VALUE"""),"Liliana Cavani")</f>
        <v>Liliana Cavani</v>
      </c>
      <c r="D135" s="21" t="str">
        <f>IFERROR(__xludf.DUMMYFUNCTION("""COMPUTED_VALUE"""),"1974")</f>
        <v>1974</v>
      </c>
    </row>
    <row r="136" ht="15.75" customHeight="1">
      <c r="A136" s="9">
        <v>135.0</v>
      </c>
      <c r="B136" s="21" t="str">
        <f>IFERROR(__xludf.DUMMYFUNCTION("""COMPUTED_VALUE"""),"Summer School Teachers")</f>
        <v>Summer School Teachers</v>
      </c>
      <c r="C136" s="21" t="str">
        <f>IFERROR(__xludf.DUMMYFUNCTION("""COMPUTED_VALUE"""),"Barbara Peeters")</f>
        <v>Barbara Peeters</v>
      </c>
      <c r="D136" s="21" t="str">
        <f>IFERROR(__xludf.DUMMYFUNCTION("""COMPUTED_VALUE"""),"1974")</f>
        <v>1974</v>
      </c>
    </row>
    <row r="137" ht="15.75" customHeight="1">
      <c r="A137" s="9">
        <v>136.0</v>
      </c>
      <c r="B137" s="21" t="str">
        <f>IFERROR(__xludf.DUMMYFUNCTION("""COMPUTED_VALUE"""),"Anna und Edith")</f>
        <v>Anna und Edith</v>
      </c>
      <c r="C137" s="21" t="str">
        <f>IFERROR(__xludf.DUMMYFUNCTION("""COMPUTED_VALUE"""),"Gerrit Neuhaus")</f>
        <v>Gerrit Neuhaus</v>
      </c>
      <c r="D137" s="21" t="str">
        <f>IFERROR(__xludf.DUMMYFUNCTION("""COMPUTED_VALUE"""),"1975")</f>
        <v>1975</v>
      </c>
    </row>
    <row r="138" ht="15.75" customHeight="1">
      <c r="A138" s="9">
        <v>137.0</v>
      </c>
      <c r="B138" s="21" t="str">
        <f>IFERROR(__xludf.DUMMYFUNCTION("""COMPUTED_VALUE"""),"Catherine &amp; Co.")</f>
        <v>Catherine &amp; Co.</v>
      </c>
      <c r="C138" s="21" t="str">
        <f>IFERROR(__xludf.DUMMYFUNCTION("""COMPUTED_VALUE"""),"Catherine Breillat")</f>
        <v>Catherine Breillat</v>
      </c>
      <c r="D138" s="21" t="str">
        <f>IFERROR(__xludf.DUMMYFUNCTION("""COMPUTED_VALUE"""),"1975")</f>
        <v>1975</v>
      </c>
    </row>
    <row r="139" ht="15.75" customHeight="1">
      <c r="A139" s="9">
        <v>138.0</v>
      </c>
      <c r="B139" s="21" t="str">
        <f>IFERROR(__xludf.DUMMYFUNCTION("""COMPUTED_VALUE"""),"Hester Street")</f>
        <v>Hester Street</v>
      </c>
      <c r="C139" s="21" t="str">
        <f>IFERROR(__xludf.DUMMYFUNCTION("""COMPUTED_VALUE"""),"Joan Micklin Silver")</f>
        <v>Joan Micklin Silver</v>
      </c>
      <c r="D139" s="21" t="str">
        <f>IFERROR(__xludf.DUMMYFUNCTION("""COMPUTED_VALUE"""),"1975")</f>
        <v>1975</v>
      </c>
    </row>
    <row r="140" ht="15.75" customHeight="1">
      <c r="A140" s="9">
        <v>139.0</v>
      </c>
      <c r="B140" s="21" t="str">
        <f>IFERROR(__xludf.DUMMYFUNCTION("""COMPUTED_VALUE"""),"Letter from My Village (Kaddy Bekat – Lettre Paysanne)")</f>
        <v>Letter from My Village (Kaddy Bekat – Lettre Paysanne)</v>
      </c>
      <c r="C140" s="21" t="str">
        <f>IFERROR(__xludf.DUMMYFUNCTION("""COMPUTED_VALUE"""),"Safi Faye")</f>
        <v>Safi Faye</v>
      </c>
      <c r="D140" s="21" t="str">
        <f>IFERROR(__xludf.DUMMYFUNCTION("""COMPUTED_VALUE"""),"1975")</f>
        <v>1975</v>
      </c>
    </row>
    <row r="141" ht="15.75" customHeight="1">
      <c r="A141" s="9">
        <v>140.0</v>
      </c>
      <c r="B141" s="21" t="str">
        <f>IFERROR(__xludf.DUMMYFUNCTION("""COMPUTED_VALUE"""),"The Lost Honor of Katharina Blum (Die Verlorene Ehre der Katharina Blum oder: Wie Gewalt entstehen und wohin sie führen kann)")</f>
        <v>The Lost Honor of Katharina Blum (Die Verlorene Ehre der Katharina Blum oder: Wie Gewalt entstehen und wohin sie führen kann)</v>
      </c>
      <c r="C141" s="21" t="str">
        <f>IFERROR(__xludf.DUMMYFUNCTION("""COMPUTED_VALUE"""),"Margarethe von Trotta and Volker Schlöndorff")</f>
        <v>Margarethe von Trotta and Volker Schlöndorff</v>
      </c>
      <c r="D141" s="21" t="str">
        <f>IFERROR(__xludf.DUMMYFUNCTION("""COMPUTED_VALUE"""),"1975")</f>
        <v>1975</v>
      </c>
    </row>
    <row r="142" ht="15.75" customHeight="1">
      <c r="A142" s="9">
        <v>141.0</v>
      </c>
      <c r="B142" s="21" t="str">
        <f>IFERROR(__xludf.DUMMYFUNCTION("""COMPUTED_VALUE"""),"The Other Half of the Sky: A China Memoir")</f>
        <v>The Other Half of the Sky: A China Memoir</v>
      </c>
      <c r="C142" s="21" t="str">
        <f>IFERROR(__xludf.DUMMYFUNCTION("""COMPUTED_VALUE"""),"Shirley MacLaine, Claudia Weill")</f>
        <v>Shirley MacLaine, Claudia Weill</v>
      </c>
      <c r="D142" s="21" t="str">
        <f>IFERROR(__xludf.DUMMYFUNCTION("""COMPUTED_VALUE"""),"1975")</f>
        <v>1975</v>
      </c>
    </row>
    <row r="143" ht="15.75" customHeight="1">
      <c r="A143" s="9">
        <v>142.0</v>
      </c>
      <c r="B143" s="21" t="str">
        <f>IFERROR(__xludf.DUMMYFUNCTION("""COMPUTED_VALUE"""),"Seven Beauties (Pasqualino settebellezze)")</f>
        <v>Seven Beauties (Pasqualino settebellezze)</v>
      </c>
      <c r="C143" s="21" t="str">
        <f>IFERROR(__xludf.DUMMYFUNCTION("""COMPUTED_VALUE"""),"Lina Wertmüller")</f>
        <v>Lina Wertmüller</v>
      </c>
      <c r="D143" s="21" t="str">
        <f>IFERROR(__xludf.DUMMYFUNCTION("""COMPUTED_VALUE"""),"1975")</f>
        <v>1975</v>
      </c>
    </row>
    <row r="144" ht="15.75" customHeight="1">
      <c r="A144" s="9">
        <v>143.0</v>
      </c>
      <c r="B144" s="21" t="str">
        <f>IFERROR(__xludf.DUMMYFUNCTION("""COMPUTED_VALUE"""),"Harlan County, USA")</f>
        <v>Harlan County, USA</v>
      </c>
      <c r="C144" s="21" t="str">
        <f>IFERROR(__xludf.DUMMYFUNCTION("""COMPUTED_VALUE"""),"Barbara Kopple")</f>
        <v>Barbara Kopple</v>
      </c>
      <c r="D144" s="21" t="str">
        <f>IFERROR(__xludf.DUMMYFUNCTION("""COMPUTED_VALUE"""),"1976")</f>
        <v>1976</v>
      </c>
      <c r="E144" s="21" t="s">
        <v>1745</v>
      </c>
      <c r="F144" s="21" t="s">
        <v>1745</v>
      </c>
    </row>
    <row r="145" ht="15.75" customHeight="1">
      <c r="A145" s="9">
        <v>144.0</v>
      </c>
      <c r="B145" s="21" t="str">
        <f>IFERROR(__xludf.DUMMYFUNCTION("""COMPUTED_VALUE"""),"Jeanne Dielman")</f>
        <v>Jeanne Dielman</v>
      </c>
      <c r="C145" s="21" t="str">
        <f>IFERROR(__xludf.DUMMYFUNCTION("""COMPUTED_VALUE"""),"Chantal Akerman")</f>
        <v>Chantal Akerman</v>
      </c>
      <c r="D145" s="21" t="str">
        <f>IFERROR(__xludf.DUMMYFUNCTION("""COMPUTED_VALUE"""),"1976")</f>
        <v>1976</v>
      </c>
    </row>
    <row r="146" ht="15.75" customHeight="1">
      <c r="A146" s="9">
        <v>145.0</v>
      </c>
      <c r="B146" s="21" t="str">
        <f>IFERROR(__xludf.DUMMYFUNCTION("""COMPUTED_VALUE"""),"Mikey and Nicky")</f>
        <v>Mikey and Nicky</v>
      </c>
      <c r="C146" s="21" t="str">
        <f>IFERROR(__xludf.DUMMYFUNCTION("""COMPUTED_VALUE"""),"Elaine May")</f>
        <v>Elaine May</v>
      </c>
      <c r="D146" s="21" t="str">
        <f>IFERROR(__xludf.DUMMYFUNCTION("""COMPUTED_VALUE"""),"1976")</f>
        <v>1976</v>
      </c>
    </row>
    <row r="147" ht="15.75" customHeight="1">
      <c r="A147" s="9">
        <v>146.0</v>
      </c>
      <c r="B147" s="21" t="str">
        <f>IFERROR(__xludf.DUMMYFUNCTION("""COMPUTED_VALUE"""),"Not a Pretty Picture")</f>
        <v>Not a Pretty Picture</v>
      </c>
      <c r="C147" s="21" t="str">
        <f>IFERROR(__xludf.DUMMYFUNCTION("""COMPUTED_VALUE"""),"Martha Coolidge")</f>
        <v>Martha Coolidge</v>
      </c>
      <c r="D147" s="21" t="str">
        <f>IFERROR(__xludf.DUMMYFUNCTION("""COMPUTED_VALUE"""),"1976")</f>
        <v>1976</v>
      </c>
    </row>
    <row r="148" ht="15.75" customHeight="1">
      <c r="A148" s="9">
        <v>147.0</v>
      </c>
      <c r="B148" s="21" t="str">
        <f>IFERROR(__xludf.DUMMYFUNCTION("""COMPUTED_VALUE"""),"A Real Young Girl")</f>
        <v>A Real Young Girl</v>
      </c>
      <c r="C148" s="21" t="str">
        <f>IFERROR(__xludf.DUMMYFUNCTION("""COMPUTED_VALUE"""),"Catherine Breillat")</f>
        <v>Catherine Breillat</v>
      </c>
      <c r="D148" s="21" t="str">
        <f>IFERROR(__xludf.DUMMYFUNCTION("""COMPUTED_VALUE"""),"1976")</f>
        <v>1976</v>
      </c>
    </row>
    <row r="149" ht="15.75" customHeight="1">
      <c r="A149" s="9">
        <v>148.0</v>
      </c>
      <c r="B149" s="21" t="str">
        <f>IFERROR(__xludf.DUMMYFUNCTION("""COMPUTED_VALUE"""),"The Ascent")</f>
        <v>The Ascent</v>
      </c>
      <c r="C149" s="21" t="str">
        <f>IFERROR(__xludf.DUMMYFUNCTION("""COMPUTED_VALUE"""),"Larissa Shepitko")</f>
        <v>Larissa Shepitko</v>
      </c>
      <c r="D149" s="21" t="str">
        <f>IFERROR(__xludf.DUMMYFUNCTION("""COMPUTED_VALUE"""),"1977")</f>
        <v>1977</v>
      </c>
    </row>
    <row r="150" ht="15.75" customHeight="1">
      <c r="A150" s="9">
        <v>149.0</v>
      </c>
      <c r="B150" s="21" t="str">
        <f>IFERROR(__xludf.DUMMYFUNCTION("""COMPUTED_VALUE"""),"Beyond Good and Evil")</f>
        <v>Beyond Good and Evil</v>
      </c>
      <c r="C150" s="21" t="str">
        <f>IFERROR(__xludf.DUMMYFUNCTION("""COMPUTED_VALUE"""),"Liliana Cavani")</f>
        <v>Liliana Cavani</v>
      </c>
      <c r="D150" s="21" t="str">
        <f>IFERROR(__xludf.DUMMYFUNCTION("""COMPUTED_VALUE"""),"1977")</f>
        <v>1977</v>
      </c>
    </row>
    <row r="151" ht="15.75" customHeight="1">
      <c r="A151" s="9">
        <v>150.0</v>
      </c>
      <c r="B151" s="21" t="str">
        <f>IFERROR(__xludf.DUMMYFUNCTION("""COMPUTED_VALUE"""),"First Love")</f>
        <v>First Love</v>
      </c>
      <c r="C151" s="21" t="str">
        <f>IFERROR(__xludf.DUMMYFUNCTION("""COMPUTED_VALUE"""),"Joan Darling")</f>
        <v>Joan Darling</v>
      </c>
      <c r="D151" s="21" t="str">
        <f>IFERROR(__xludf.DUMMYFUNCTION("""COMPUTED_VALUE"""),"1977")</f>
        <v>1977</v>
      </c>
    </row>
    <row r="152" ht="15.75" customHeight="1">
      <c r="A152" s="9">
        <v>151.0</v>
      </c>
      <c r="B152" s="21" t="str">
        <f>IFERROR(__xludf.DUMMYFUNCTION("""COMPUTED_VALUE"""),"News from Home")</f>
        <v>News from Home</v>
      </c>
      <c r="C152" s="21" t="str">
        <f>IFERROR(__xludf.DUMMYFUNCTION("""COMPUTED_VALUE"""),"Chantal Akerman")</f>
        <v>Chantal Akerman</v>
      </c>
      <c r="D152" s="21" t="str">
        <f>IFERROR(__xludf.DUMMYFUNCTION("""COMPUTED_VALUE"""),"1977")</f>
        <v>1977</v>
      </c>
    </row>
    <row r="153" ht="15.75" customHeight="1">
      <c r="A153" s="9">
        <v>152.0</v>
      </c>
      <c r="B153" s="21" t="str">
        <f>IFERROR(__xludf.DUMMYFUNCTION("""COMPUTED_VALUE"""),"One Sings, the Other Doesn't")</f>
        <v>One Sings, the Other Doesn't</v>
      </c>
      <c r="C153" s="21" t="str">
        <f>IFERROR(__xludf.DUMMYFUNCTION("""COMPUTED_VALUE"""),"Agnes Varda")</f>
        <v>Agnes Varda</v>
      </c>
      <c r="D153" s="21" t="str">
        <f>IFERROR(__xludf.DUMMYFUNCTION("""COMPUTED_VALUE"""),"1977")</f>
        <v>1977</v>
      </c>
    </row>
    <row r="154" ht="15.75" customHeight="1">
      <c r="A154" s="9">
        <v>153.0</v>
      </c>
      <c r="B154" s="21" t="str">
        <f>IFERROR(__xludf.DUMMYFUNCTION("""COMPUTED_VALUE"""),"Les Rendez-vous d'Anna")</f>
        <v>Les Rendez-vous d'Anna</v>
      </c>
      <c r="C154" s="21" t="str">
        <f>IFERROR(__xludf.DUMMYFUNCTION("""COMPUTED_VALUE"""),"Chantal Akerman")</f>
        <v>Chantal Akerman</v>
      </c>
      <c r="D154" s="21" t="str">
        <f>IFERROR(__xludf.DUMMYFUNCTION("""COMPUTED_VALUE"""),"1977")</f>
        <v>1977</v>
      </c>
    </row>
    <row r="155" ht="15.75" customHeight="1">
      <c r="A155" s="9">
        <v>154.0</v>
      </c>
      <c r="B155" s="21" t="str">
        <f>IFERROR(__xludf.DUMMYFUNCTION("""COMPUTED_VALUE"""),"Starhops")</f>
        <v>Starhops</v>
      </c>
      <c r="C155" s="21" t="str">
        <f>IFERROR(__xludf.DUMMYFUNCTION("""COMPUTED_VALUE"""),"Barbara Peeters")</f>
        <v>Barbara Peeters</v>
      </c>
      <c r="D155" s="21" t="str">
        <f>IFERROR(__xludf.DUMMYFUNCTION("""COMPUTED_VALUE"""),"1977")</f>
        <v>1977</v>
      </c>
    </row>
    <row r="156" ht="15.75" customHeight="1">
      <c r="A156" s="9">
        <v>155.0</v>
      </c>
      <c r="B156" s="21" t="str">
        <f>IFERROR(__xludf.DUMMYFUNCTION("""COMPUTED_VALUE"""),"But what do they want, after all? (Mais qu'est ce qu'elles veulent?)")</f>
        <v>But what do they want, after all? (Mais qu'est ce qu'elles veulent?)</v>
      </c>
      <c r="C156" s="21" t="str">
        <f>IFERROR(__xludf.DUMMYFUNCTION("""COMPUTED_VALUE"""),"Coline Serreau")</f>
        <v>Coline Serreau</v>
      </c>
      <c r="D156" s="21" t="str">
        <f>IFERROR(__xludf.DUMMYFUNCTION("""COMPUTED_VALUE"""),"1978")</f>
        <v>1978</v>
      </c>
    </row>
    <row r="157" ht="15.75" customHeight="1">
      <c r="A157" s="9">
        <v>156.0</v>
      </c>
      <c r="B157" s="21" t="str">
        <f>IFERROR(__xludf.DUMMYFUNCTION("""COMPUTED_VALUE"""),"The All-Around Reduced Personality – Outtakes [de] (Die allseitig reduzierte Persönlichkeit – Redupers)")</f>
        <v>The All-Around Reduced Personality – Outtakes [de] (Die allseitig reduzierte Persönlichkeit – Redupers)</v>
      </c>
      <c r="C157" s="21" t="str">
        <f>IFERROR(__xludf.DUMMYFUNCTION("""COMPUTED_VALUE"""),"Helke Sander")</f>
        <v>Helke Sander</v>
      </c>
      <c r="D157" s="21" t="str">
        <f>IFERROR(__xludf.DUMMYFUNCTION("""COMPUTED_VALUE"""),"1978")</f>
        <v>1978</v>
      </c>
    </row>
    <row r="158" ht="15.75" customHeight="1">
      <c r="A158" s="9">
        <v>157.0</v>
      </c>
      <c r="B158" s="21" t="str">
        <f>IFERROR(__xludf.DUMMYFUNCTION("""COMPUTED_VALUE"""),"Getting to Know the Big, Wide World")</f>
        <v>Getting to Know the Big, Wide World</v>
      </c>
      <c r="C158" s="21" t="str">
        <f>IFERROR(__xludf.DUMMYFUNCTION("""COMPUTED_VALUE"""),"Kira Muratova")</f>
        <v>Kira Muratova</v>
      </c>
      <c r="D158" s="21" t="str">
        <f>IFERROR(__xludf.DUMMYFUNCTION("""COMPUTED_VALUE"""),"1978")</f>
        <v>1978</v>
      </c>
    </row>
    <row r="159" ht="15.75" customHeight="1">
      <c r="A159" s="9">
        <v>158.0</v>
      </c>
      <c r="B159" s="21" t="str">
        <f>IFERROR(__xludf.DUMMYFUNCTION("""COMPUTED_VALUE"""),"Girlfriends")</f>
        <v>Girlfriends</v>
      </c>
      <c r="C159" s="21" t="str">
        <f>IFERROR(__xludf.DUMMYFUNCTION("""COMPUTED_VALUE"""),"Claudia Weill")</f>
        <v>Claudia Weill</v>
      </c>
      <c r="D159" s="21" t="str">
        <f>IFERROR(__xludf.DUMMYFUNCTION("""COMPUTED_VALUE"""),"1978")</f>
        <v>1978</v>
      </c>
    </row>
    <row r="160" ht="15.75" customHeight="1">
      <c r="A160" s="9">
        <v>159.0</v>
      </c>
      <c r="B160" s="21" t="str">
        <f>IFERROR(__xludf.DUMMYFUNCTION("""COMPUTED_VALUE"""),"The Mafu Cage")</f>
        <v>The Mafu Cage</v>
      </c>
      <c r="C160" s="21" t="str">
        <f>IFERROR(__xludf.DUMMYFUNCTION("""COMPUTED_VALUE"""),"Karen Arthur")</f>
        <v>Karen Arthur</v>
      </c>
      <c r="D160" s="21" t="str">
        <f>IFERROR(__xludf.DUMMYFUNCTION("""COMPUTED_VALUE"""),"1978")</f>
        <v>1978</v>
      </c>
    </row>
    <row r="161" ht="15.75" customHeight="1">
      <c r="A161" s="9">
        <v>160.0</v>
      </c>
      <c r="B161" s="21" t="str">
        <f>IFERROR(__xludf.DUMMYFUNCTION("""COMPUTED_VALUE"""),"The Power of Men is the Patience of Women [de] (Die Macht der Männer ist die Geduld der Frauen)")</f>
        <v>The Power of Men is the Patience of Women [de] (Die Macht der Männer ist die Geduld der Frauen)</v>
      </c>
      <c r="C161" s="21" t="str">
        <f>IFERROR(__xludf.DUMMYFUNCTION("""COMPUTED_VALUE"""),"Cristina Perincioli")</f>
        <v>Cristina Perincioli</v>
      </c>
      <c r="D161" s="21" t="str">
        <f>IFERROR(__xludf.DUMMYFUNCTION("""COMPUTED_VALUE"""),"1978")</f>
        <v>1978</v>
      </c>
    </row>
    <row r="162" ht="15.75" customHeight="1">
      <c r="A162" s="9">
        <v>161.0</v>
      </c>
      <c r="B162" s="21" t="str">
        <f>IFERROR(__xludf.DUMMYFUNCTION("""COMPUTED_VALUE"""),"Rabbit Test")</f>
        <v>Rabbit Test</v>
      </c>
      <c r="C162" s="21" t="str">
        <f>IFERROR(__xludf.DUMMYFUNCTION("""COMPUTED_VALUE"""),"Joan Rivers")</f>
        <v>Joan Rivers</v>
      </c>
      <c r="D162" s="21" t="str">
        <f>IFERROR(__xludf.DUMMYFUNCTION("""COMPUTED_VALUE"""),"1978")</f>
        <v>1978</v>
      </c>
      <c r="E162" s="21" t="s">
        <v>1746</v>
      </c>
      <c r="F162" s="21" t="s">
        <v>1746</v>
      </c>
    </row>
    <row r="163" ht="15.75" customHeight="1">
      <c r="A163" s="9">
        <v>162.0</v>
      </c>
      <c r="B163" s="21" t="str">
        <f>IFERROR(__xludf.DUMMYFUNCTION("""COMPUTED_VALUE"""),"Anti-Clock")</f>
        <v>Anti-Clock</v>
      </c>
      <c r="C163" s="21" t="str">
        <f>IFERROR(__xludf.DUMMYFUNCTION("""COMPUTED_VALUE"""),"Jane Arden")</f>
        <v>Jane Arden</v>
      </c>
      <c r="D163" s="21" t="str">
        <f>IFERROR(__xludf.DUMMYFUNCTION("""COMPUTED_VALUE"""),"1979")</f>
        <v>1979</v>
      </c>
    </row>
    <row r="164" ht="15.75" customHeight="1">
      <c r="A164" s="9">
        <v>163.0</v>
      </c>
      <c r="B164" s="21" t="str">
        <f>IFERROR(__xludf.DUMMYFUNCTION("""COMPUTED_VALUE"""),"Daughter Rite")</f>
        <v>Daughter Rite</v>
      </c>
      <c r="C164" s="21" t="str">
        <f>IFERROR(__xludf.DUMMYFUNCTION("""COMPUTED_VALUE"""),"Michelle Citron")</f>
        <v>Michelle Citron</v>
      </c>
      <c r="D164" s="21" t="str">
        <f>IFERROR(__xludf.DUMMYFUNCTION("""COMPUTED_VALUE"""),"1979")</f>
        <v>1979</v>
      </c>
    </row>
    <row r="165" ht="15.75" customHeight="1">
      <c r="A165" s="9">
        <v>164.0</v>
      </c>
      <c r="B165" s="21" t="str">
        <f>IFERROR(__xludf.DUMMYFUNCTION("""COMPUTED_VALUE"""),"Germany Pale Mother (Deutschland bleiche Mutter)")</f>
        <v>Germany Pale Mother (Deutschland bleiche Mutter)</v>
      </c>
      <c r="C165" s="21" t="str">
        <f>IFERROR(__xludf.DUMMYFUNCTION("""COMPUTED_VALUE"""),"Helma Sanders-Brahms")</f>
        <v>Helma Sanders-Brahms</v>
      </c>
      <c r="D165" s="21" t="str">
        <f>IFERROR(__xludf.DUMMYFUNCTION("""COMPUTED_VALUE"""),"1979")</f>
        <v>1979</v>
      </c>
      <c r="E165" s="21" t="s">
        <v>1747</v>
      </c>
      <c r="F165" s="21" t="s">
        <v>1747</v>
      </c>
    </row>
    <row r="166" ht="15.75" customHeight="1">
      <c r="A166" s="9">
        <v>165.0</v>
      </c>
      <c r="B166" s="21" t="str">
        <f>IFERROR(__xludf.DUMMYFUNCTION("""COMPUTED_VALUE"""),"Provincial Actors (Aktorzy prowincjonalni)")</f>
        <v>Provincial Actors (Aktorzy prowincjonalni)</v>
      </c>
      <c r="C166" s="21" t="str">
        <f>IFERROR(__xludf.DUMMYFUNCTION("""COMPUTED_VALUE"""),"Agnieszka Holland")</f>
        <v>Agnieszka Holland</v>
      </c>
      <c r="D166" s="21" t="str">
        <f>IFERROR(__xludf.DUMMYFUNCTION("""COMPUTED_VALUE"""),"1979")</f>
        <v>1979</v>
      </c>
    </row>
    <row r="167" ht="15.75" customHeight="1">
      <c r="A167" s="9">
        <v>166.0</v>
      </c>
      <c r="B167" s="21" t="str">
        <f>IFERROR(__xludf.DUMMYFUNCTION("""COMPUTED_VALUE"""),"My Brilliant Career")</f>
        <v>My Brilliant Career</v>
      </c>
      <c r="C167" s="21" t="str">
        <f>IFERROR(__xludf.DUMMYFUNCTION("""COMPUTED_VALUE"""),"Gillian Armstrong")</f>
        <v>Gillian Armstrong</v>
      </c>
      <c r="D167" s="21" t="str">
        <f>IFERROR(__xludf.DUMMYFUNCTION("""COMPUTED_VALUE"""),"1979")</f>
        <v>1979</v>
      </c>
    </row>
    <row r="168" ht="15.75" customHeight="1">
      <c r="A168" s="9">
        <v>167.0</v>
      </c>
      <c r="B168" s="21" t="str">
        <f>IFERROR(__xludf.DUMMYFUNCTION("""COMPUTED_VALUE"""),"Ticket of No Return (Bildnis einer Trinkerin)")</f>
        <v>Ticket of No Return (Bildnis einer Trinkerin)</v>
      </c>
      <c r="C168" s="21" t="str">
        <f>IFERROR(__xludf.DUMMYFUNCTION("""COMPUTED_VALUE"""),"Ulrike Ottinger")</f>
        <v>Ulrike Ottinger</v>
      </c>
      <c r="D168" s="21" t="str">
        <f>IFERROR(__xludf.DUMMYFUNCTION("""COMPUTED_VALUE"""),"1979")</f>
        <v>1979</v>
      </c>
    </row>
    <row r="169" ht="15.75" customHeight="1">
      <c r="A169" s="9">
        <v>168.0</v>
      </c>
      <c r="B169" s="21" t="str">
        <f>IFERROR(__xludf.DUMMYFUNCTION("""COMPUTED_VALUE"""),"Can't Stop the Music")</f>
        <v>Can't Stop the Music</v>
      </c>
      <c r="C169" s="21" t="str">
        <f>IFERROR(__xludf.DUMMYFUNCTION("""COMPUTED_VALUE"""),"Nancy Walker")</f>
        <v>Nancy Walker</v>
      </c>
      <c r="D169" s="21" t="str">
        <f>IFERROR(__xludf.DUMMYFUNCTION("""COMPUTED_VALUE"""),"1980")</f>
        <v>1980</v>
      </c>
    </row>
    <row r="170" ht="15.75" customHeight="1">
      <c r="A170" s="9">
        <v>169.0</v>
      </c>
      <c r="B170" s="21" t="str">
        <f>IFERROR(__xludf.DUMMYFUNCTION("""COMPUTED_VALUE"""),"Fatso")</f>
        <v>Fatso</v>
      </c>
      <c r="C170" s="21" t="str">
        <f>IFERROR(__xludf.DUMMYFUNCTION("""COMPUTED_VALUE"""),"Anne Bancroft")</f>
        <v>Anne Bancroft</v>
      </c>
      <c r="D170" s="21" t="str">
        <f>IFERROR(__xludf.DUMMYFUNCTION("""COMPUTED_VALUE"""),"1980")</f>
        <v>1980</v>
      </c>
    </row>
    <row r="171" ht="15.75" customHeight="1">
      <c r="A171" s="9">
        <v>170.0</v>
      </c>
      <c r="B171" s="21" t="str">
        <f>IFERROR(__xludf.DUMMYFUNCTION("""COMPUTED_VALUE"""),"The Godsend")</f>
        <v>The Godsend</v>
      </c>
      <c r="C171" s="21" t="str">
        <f>IFERROR(__xludf.DUMMYFUNCTION("""COMPUTED_VALUE"""),"Gabrielle Beaumont")</f>
        <v>Gabrielle Beaumont</v>
      </c>
      <c r="D171" s="21" t="str">
        <f>IFERROR(__xludf.DUMMYFUNCTION("""COMPUTED_VALUE"""),"1980")</f>
        <v>1980</v>
      </c>
    </row>
    <row r="172" ht="15.75" customHeight="1">
      <c r="A172" s="9">
        <v>171.0</v>
      </c>
      <c r="B172" s="21" t="str">
        <f>IFERROR(__xludf.DUMMYFUNCTION("""COMPUTED_VALUE"""),"Humanoids from the Deep")</f>
        <v>Humanoids from the Deep</v>
      </c>
      <c r="C172" s="21" t="str">
        <f>IFERROR(__xludf.DUMMYFUNCTION("""COMPUTED_VALUE"""),"Barbara Peeters")</f>
        <v>Barbara Peeters</v>
      </c>
      <c r="D172" s="21" t="str">
        <f>IFERROR(__xludf.DUMMYFUNCTION("""COMPUTED_VALUE"""),"1980")</f>
        <v>1980</v>
      </c>
    </row>
    <row r="173" ht="15.75" customHeight="1">
      <c r="A173" s="9">
        <v>172.0</v>
      </c>
      <c r="B173" s="21" t="str">
        <f>IFERROR(__xludf.DUMMYFUNCTION("""COMPUTED_VALUE"""),"It's My Turn")</f>
        <v>It's My Turn</v>
      </c>
      <c r="C173" s="21" t="str">
        <f>IFERROR(__xludf.DUMMYFUNCTION("""COMPUTED_VALUE"""),"Claudia Weill")</f>
        <v>Claudia Weill</v>
      </c>
      <c r="D173" s="21" t="str">
        <f>IFERROR(__xludf.DUMMYFUNCTION("""COMPUTED_VALUE"""),"1980")</f>
        <v>1980</v>
      </c>
    </row>
    <row r="174" ht="15.75" customHeight="1">
      <c r="A174" s="9">
        <v>173.0</v>
      </c>
      <c r="B174" s="21" t="str">
        <f>IFERROR(__xludf.DUMMYFUNCTION("""COMPUTED_VALUE"""),"The Life and Times of Rosie the Riveter")</f>
        <v>The Life and Times of Rosie the Riveter</v>
      </c>
      <c r="C174" s="21" t="str">
        <f>IFERROR(__xludf.DUMMYFUNCTION("""COMPUTED_VALUE"""),"Connie Field")</f>
        <v>Connie Field</v>
      </c>
      <c r="D174" s="21" t="str">
        <f>IFERROR(__xludf.DUMMYFUNCTION("""COMPUTED_VALUE"""),"1980")</f>
        <v>1980</v>
      </c>
    </row>
    <row r="175" ht="15.75" customHeight="1">
      <c r="A175" s="9">
        <v>174.0</v>
      </c>
      <c r="B175" s="21" t="str">
        <f>IFERROR(__xludf.DUMMYFUNCTION("""COMPUTED_VALUE"""),"Sparsh")</f>
        <v>Sparsh</v>
      </c>
      <c r="C175" s="21" t="str">
        <f>IFERROR(__xludf.DUMMYFUNCTION("""COMPUTED_VALUE"""),"Sai Paranjpye")</f>
        <v>Sai Paranjpye</v>
      </c>
      <c r="D175" s="21" t="str">
        <f>IFERROR(__xludf.DUMMYFUNCTION("""COMPUTED_VALUE"""),"1980")</f>
        <v>1980</v>
      </c>
    </row>
    <row r="176" ht="15.75" customHeight="1">
      <c r="A176" s="9">
        <v>175.0</v>
      </c>
      <c r="B176" s="21" t="str">
        <f>IFERROR(__xludf.DUMMYFUNCTION("""COMPUTED_VALUE"""),"36 Chowringhee Lane")</f>
        <v>36 Chowringhee Lane</v>
      </c>
      <c r="C176" s="21" t="str">
        <f>IFERROR(__xludf.DUMMYFUNCTION("""COMPUTED_VALUE"""),"Aparna Sen")</f>
        <v>Aparna Sen</v>
      </c>
      <c r="D176" s="21" t="str">
        <f>IFERROR(__xludf.DUMMYFUNCTION("""COMPUTED_VALUE"""),"1981")</f>
        <v>1981</v>
      </c>
    </row>
    <row r="177" ht="15.75" customHeight="1">
      <c r="A177" s="9">
        <v>176.0</v>
      </c>
      <c r="B177" s="21" t="str">
        <f>IFERROR(__xludf.DUMMYFUNCTION("""COMPUTED_VALUE"""),"Death of a Centerfold")</f>
        <v>Death of a Centerfold</v>
      </c>
      <c r="C177" s="21" t="str">
        <f>IFERROR(__xludf.DUMMYFUNCTION("""COMPUTED_VALUE"""),"Gabrielle Beaumont")</f>
        <v>Gabrielle Beaumont</v>
      </c>
      <c r="D177" s="21" t="str">
        <f>IFERROR(__xludf.DUMMYFUNCTION("""COMPUTED_VALUE"""),"1981")</f>
        <v>1981</v>
      </c>
    </row>
    <row r="178" ht="15.75" customHeight="1">
      <c r="A178" s="9">
        <v>177.0</v>
      </c>
      <c r="B178" s="21" t="str">
        <f>IFERROR(__xludf.DUMMYFUNCTION("""COMPUTED_VALUE"""),"The Decline of Western Civilization")</f>
        <v>The Decline of Western Civilization</v>
      </c>
      <c r="C178" s="21" t="str">
        <f>IFERROR(__xludf.DUMMYFUNCTION("""COMPUTED_VALUE"""),"Penelope Spheeris")</f>
        <v>Penelope Spheeris</v>
      </c>
      <c r="D178" s="21" t="str">
        <f>IFERROR(__xludf.DUMMYFUNCTION("""COMPUTED_VALUE"""),"1981")</f>
        <v>1981</v>
      </c>
    </row>
    <row r="179" ht="15.75" customHeight="1">
      <c r="A179" s="9">
        <v>178.0</v>
      </c>
      <c r="B179" s="21" t="str">
        <f>IFERROR(__xludf.DUMMYFUNCTION("""COMPUTED_VALUE"""),"Eight Minutes to Midnight: A Portrait of Dr. Helen Caldicott")</f>
        <v>Eight Minutes to Midnight: A Portrait of Dr. Helen Caldicott</v>
      </c>
      <c r="C179" s="21" t="str">
        <f>IFERROR(__xludf.DUMMYFUNCTION("""COMPUTED_VALUE"""),"Mary Benjamin")</f>
        <v>Mary Benjamin</v>
      </c>
      <c r="D179" s="21" t="str">
        <f>IFERROR(__xludf.DUMMYFUNCTION("""COMPUTED_VALUE"""),"1981")</f>
        <v>1981</v>
      </c>
    </row>
    <row r="180" ht="15.75" customHeight="1">
      <c r="A180" s="9">
        <v>179.0</v>
      </c>
      <c r="B180" s="21" t="str">
        <f>IFERROR(__xludf.DUMMYFUNCTION("""COMPUTED_VALUE"""),"Fever (Gorączka)")</f>
        <v>Fever (Gorączka)</v>
      </c>
      <c r="C180" s="21" t="str">
        <f>IFERROR(__xludf.DUMMYFUNCTION("""COMPUTED_VALUE"""),"Agnieszka Holland")</f>
        <v>Agnieszka Holland</v>
      </c>
      <c r="D180" s="21" t="str">
        <f>IFERROR(__xludf.DUMMYFUNCTION("""COMPUTED_VALUE"""),"1981")</f>
        <v>1981</v>
      </c>
    </row>
    <row r="181" ht="15.75" customHeight="1">
      <c r="A181" s="9">
        <v>180.0</v>
      </c>
      <c r="B181" s="21" t="str">
        <f>IFERROR(__xludf.DUMMYFUNCTION("""COMPUTED_VALUE"""),"The German Sisters")</f>
        <v>The German Sisters</v>
      </c>
      <c r="C181" s="21" t="str">
        <f>IFERROR(__xludf.DUMMYFUNCTION("""COMPUTED_VALUE"""),"Margarethe von Trotta")</f>
        <v>Margarethe von Trotta</v>
      </c>
      <c r="D181" s="21" t="str">
        <f>IFERROR(__xludf.DUMMYFUNCTION("""COMPUTED_VALUE"""),"1981")</f>
        <v>1981</v>
      </c>
    </row>
    <row r="182" ht="15.75" customHeight="1">
      <c r="A182" s="9">
        <v>181.0</v>
      </c>
      <c r="B182" s="21" t="str">
        <f>IFERROR(__xludf.DUMMYFUNCTION("""COMPUTED_VALUE"""),"A Lonely Woman (Kobieta samotna)")</f>
        <v>A Lonely Woman (Kobieta samotna)</v>
      </c>
      <c r="C182" s="21" t="str">
        <f>IFERROR(__xludf.DUMMYFUNCTION("""COMPUTED_VALUE"""),"Agnieszka Holland")</f>
        <v>Agnieszka Holland</v>
      </c>
      <c r="D182" s="21" t="str">
        <f>IFERROR(__xludf.DUMMYFUNCTION("""COMPUTED_VALUE"""),"1981")</f>
        <v>1981</v>
      </c>
    </row>
    <row r="183" ht="15.75" customHeight="1">
      <c r="A183" s="9">
        <v>182.0</v>
      </c>
      <c r="B183" s="21" t="str">
        <f>IFERROR(__xludf.DUMMYFUNCTION("""COMPUTED_VALUE"""),"The Skin (La Pelle)")</f>
        <v>The Skin (La Pelle)</v>
      </c>
      <c r="C183" s="21" t="str">
        <f>IFERROR(__xludf.DUMMYFUNCTION("""COMPUTED_VALUE"""),"Liliana Cavani")</f>
        <v>Liliana Cavani</v>
      </c>
      <c r="D183" s="21" t="str">
        <f>IFERROR(__xludf.DUMMYFUNCTION("""COMPUTED_VALUE"""),"1981")</f>
        <v>1981</v>
      </c>
      <c r="E183" s="21" t="s">
        <v>1748</v>
      </c>
      <c r="F183" s="21" t="s">
        <v>1748</v>
      </c>
    </row>
    <row r="184" ht="15.75" customHeight="1">
      <c r="A184" s="9">
        <v>183.0</v>
      </c>
      <c r="B184" s="21" t="str">
        <f>IFERROR(__xludf.DUMMYFUNCTION("""COMPUTED_VALUE"""),"All Night Long (Toute une nuit)")</f>
        <v>All Night Long (Toute une nuit)</v>
      </c>
      <c r="C184" s="21" t="str">
        <f>IFERROR(__xludf.DUMMYFUNCTION("""COMPUTED_VALUE"""),"Chantal Akerman")</f>
        <v>Chantal Akerman</v>
      </c>
      <c r="D184" s="21" t="str">
        <f>IFERROR(__xludf.DUMMYFUNCTION("""COMPUTED_VALUE"""),"1982")</f>
        <v>1982</v>
      </c>
    </row>
    <row r="185" ht="15.75" customHeight="1">
      <c r="A185" s="9">
        <v>184.0</v>
      </c>
      <c r="B185" s="21" t="str">
        <f>IFERROR(__xludf.DUMMYFUNCTION("""COMPUTED_VALUE"""),"Beyond the Door (Oltre la Porta)")</f>
        <v>Beyond the Door (Oltre la Porta)</v>
      </c>
      <c r="C185" s="21" t="str">
        <f>IFERROR(__xludf.DUMMYFUNCTION("""COMPUTED_VALUE"""),"Liliana Cavani")</f>
        <v>Liliana Cavani</v>
      </c>
      <c r="D185" s="21" t="str">
        <f>IFERROR(__xludf.DUMMYFUNCTION("""COMPUTED_VALUE"""),"1982")</f>
        <v>1982</v>
      </c>
    </row>
    <row r="186" ht="15.75" customHeight="1">
      <c r="A186" s="9">
        <v>185.0</v>
      </c>
      <c r="B186" s="21" t="str">
        <f>IFERROR(__xludf.DUMMYFUNCTION("""COMPUTED_VALUE"""),"Fast Times at Ridgemont High")</f>
        <v>Fast Times at Ridgemont High</v>
      </c>
      <c r="C186" s="21" t="str">
        <f>IFERROR(__xludf.DUMMYFUNCTION("""COMPUTED_VALUE"""),"Amy Heckerling")</f>
        <v>Amy Heckerling</v>
      </c>
      <c r="D186" s="21" t="str">
        <f>IFERROR(__xludf.DUMMYFUNCTION("""COMPUTED_VALUE"""),"1982")</f>
        <v>1982</v>
      </c>
    </row>
    <row r="187" ht="15.75" customHeight="1">
      <c r="A187" s="9">
        <v>186.0</v>
      </c>
      <c r="B187" s="21" t="str">
        <f>IFERROR(__xludf.DUMMYFUNCTION("""COMPUTED_VALUE"""),"Grease 2")</f>
        <v>Grease 2</v>
      </c>
      <c r="C187" s="21" t="str">
        <f>IFERROR(__xludf.DUMMYFUNCTION("""COMPUTED_VALUE"""),"Patricia Birch")</f>
        <v>Patricia Birch</v>
      </c>
      <c r="D187" s="21" t="str">
        <f>IFERROR(__xludf.DUMMYFUNCTION("""COMPUTED_VALUE"""),"1982")</f>
        <v>1982</v>
      </c>
    </row>
    <row r="188" ht="15.75" customHeight="1">
      <c r="A188" s="9">
        <v>187.0</v>
      </c>
      <c r="B188" s="21" t="str">
        <f>IFERROR(__xludf.DUMMYFUNCTION("""COMPUTED_VALUE"""),"Starstruck")</f>
        <v>Starstruck</v>
      </c>
      <c r="C188" s="21" t="str">
        <f>IFERROR(__xludf.DUMMYFUNCTION("""COMPUTED_VALUE"""),"Gillian Armstrong")</f>
        <v>Gillian Armstrong</v>
      </c>
      <c r="D188" s="21" t="str">
        <f>IFERROR(__xludf.DUMMYFUNCTION("""COMPUTED_VALUE"""),"1982")</f>
        <v>1982</v>
      </c>
    </row>
    <row r="189" ht="15.75" customHeight="1">
      <c r="A189" s="9">
        <v>188.0</v>
      </c>
      <c r="B189" s="21" t="str">
        <f>IFERROR(__xludf.DUMMYFUNCTION("""COMPUTED_VALUE"""),"Among Grey Stones")</f>
        <v>Among Grey Stones</v>
      </c>
      <c r="C189" s="21" t="str">
        <f>IFERROR(__xludf.DUMMYFUNCTION("""COMPUTED_VALUE"""),"Kira Muratova")</f>
        <v>Kira Muratova</v>
      </c>
      <c r="D189" s="21" t="str">
        <f>IFERROR(__xludf.DUMMYFUNCTION("""COMPUTED_VALUE"""),"1983")</f>
        <v>1983</v>
      </c>
    </row>
    <row r="190" ht="15.75" customHeight="1">
      <c r="A190" s="9">
        <v>189.0</v>
      </c>
      <c r="B190" s="21" t="str">
        <f>IFERROR(__xludf.DUMMYFUNCTION("""COMPUTED_VALUE"""),"Born in Flames")</f>
        <v>Born in Flames</v>
      </c>
      <c r="C190" s="21" t="str">
        <f>IFERROR(__xludf.DUMMYFUNCTION("""COMPUTED_VALUE"""),"Lizzie Borden")</f>
        <v>Lizzie Borden</v>
      </c>
      <c r="D190" s="21" t="str">
        <f>IFERROR(__xludf.DUMMYFUNCTION("""COMPUTED_VALUE"""),"1983")</f>
        <v>1983</v>
      </c>
    </row>
    <row r="191" ht="15.75" customHeight="1">
      <c r="A191" s="9">
        <v>190.0</v>
      </c>
      <c r="B191" s="21" t="str">
        <f>IFERROR(__xludf.DUMMYFUNCTION("""COMPUTED_VALUE"""),"The Gold Diggers")</f>
        <v>The Gold Diggers</v>
      </c>
      <c r="C191" s="21" t="str">
        <f>IFERROR(__xludf.DUMMYFUNCTION("""COMPUTED_VALUE"""),"Sally Potter")</f>
        <v>Sally Potter</v>
      </c>
      <c r="D191" s="21" t="str">
        <f>IFERROR(__xludf.DUMMYFUNCTION("""COMPUTED_VALUE"""),"1983")</f>
        <v>1983</v>
      </c>
    </row>
    <row r="192" ht="15.75" customHeight="1">
      <c r="A192" s="9">
        <v>191.0</v>
      </c>
      <c r="B192" s="21" t="str">
        <f>IFERROR(__xludf.DUMMYFUNCTION("""COMPUTED_VALUE"""),"Valley Girl")</f>
        <v>Valley Girl</v>
      </c>
      <c r="C192" s="21" t="str">
        <f>IFERROR(__xludf.DUMMYFUNCTION("""COMPUTED_VALUE"""),"Martha Coolidge")</f>
        <v>Martha Coolidge</v>
      </c>
      <c r="D192" s="21" t="str">
        <f>IFERROR(__xludf.DUMMYFUNCTION("""COMPUTED_VALUE"""),"1983")</f>
        <v>1983</v>
      </c>
    </row>
    <row r="193" ht="15.75" customHeight="1">
      <c r="A193" s="9">
        <v>192.0</v>
      </c>
      <c r="B193" s="21" t="str">
        <f>IFERROR(__xludf.DUMMYFUNCTION("""COMPUTED_VALUE"""),"Variety")</f>
        <v>Variety</v>
      </c>
      <c r="C193" s="21" t="str">
        <f>IFERROR(__xludf.DUMMYFUNCTION("""COMPUTED_VALUE"""),"Bette Gordon")</f>
        <v>Bette Gordon</v>
      </c>
      <c r="D193" s="21" t="str">
        <f>IFERROR(__xludf.DUMMYFUNCTION("""COMPUTED_VALUE"""),"1983")</f>
        <v>1983</v>
      </c>
    </row>
    <row r="194" ht="15.75" customHeight="1">
      <c r="A194" s="9">
        <v>193.0</v>
      </c>
      <c r="B194" s="21" t="str">
        <f>IFERROR(__xludf.DUMMYFUNCTION("""COMPUTED_VALUE"""),"Yentl")</f>
        <v>Yentl</v>
      </c>
      <c r="C194" s="21" t="str">
        <f>IFERROR(__xludf.DUMMYFUNCTION("""COMPUTED_VALUE"""),"Barbra Streisand")</f>
        <v>Barbra Streisand</v>
      </c>
      <c r="D194" s="21" t="str">
        <f>IFERROR(__xludf.DUMMYFUNCTION("""COMPUTED_VALUE"""),"1983")</f>
        <v>1983</v>
      </c>
    </row>
    <row r="195" ht="15.75" customHeight="1">
      <c r="A195" s="9">
        <v>194.0</v>
      </c>
      <c r="B195" s="21" t="str">
        <f>IFERROR(__xludf.DUMMYFUNCTION("""COMPUTED_VALUE"""),"Joy of Sex")</f>
        <v>Joy of Sex</v>
      </c>
      <c r="C195" s="21" t="str">
        <f>IFERROR(__xludf.DUMMYFUNCTION("""COMPUTED_VALUE"""),"Martha Coolidge")</f>
        <v>Martha Coolidge</v>
      </c>
      <c r="D195" s="21" t="str">
        <f>IFERROR(__xludf.DUMMYFUNCTION("""COMPUTED_VALUE"""),"1984")</f>
        <v>1984</v>
      </c>
      <c r="E195" s="21" t="s">
        <v>1749</v>
      </c>
      <c r="F195" s="21" t="s">
        <v>1749</v>
      </c>
    </row>
    <row r="196" ht="15.75" customHeight="1">
      <c r="A196" s="9">
        <v>195.0</v>
      </c>
      <c r="B196" s="21" t="str">
        <f>IFERROR(__xludf.DUMMYFUNCTION("""COMPUTED_VALUE"""),"Mrs. Soffel")</f>
        <v>Mrs. Soffel</v>
      </c>
      <c r="C196" s="21" t="str">
        <f>IFERROR(__xludf.DUMMYFUNCTION("""COMPUTED_VALUE"""),"Gillian Armstrong")</f>
        <v>Gillian Armstrong</v>
      </c>
      <c r="D196" s="21" t="str">
        <f>IFERROR(__xludf.DUMMYFUNCTION("""COMPUTED_VALUE"""),"1984")</f>
        <v>1984</v>
      </c>
    </row>
    <row r="197" ht="15.75" customHeight="1">
      <c r="A197" s="9">
        <v>196.0</v>
      </c>
      <c r="B197" s="21" t="str">
        <f>IFERROR(__xludf.DUMMYFUNCTION("""COMPUTED_VALUE"""),"Angry Harvest (Bittere Ernte)")</f>
        <v>Angry Harvest (Bittere Ernte)</v>
      </c>
      <c r="C197" s="21" t="str">
        <f>IFERROR(__xludf.DUMMYFUNCTION("""COMPUTED_VALUE"""),"Agnieszka Holland")</f>
        <v>Agnieszka Holland</v>
      </c>
      <c r="D197" s="21" t="str">
        <f>IFERROR(__xludf.DUMMYFUNCTION("""COMPUTED_VALUE"""),"1985")</f>
        <v>1985</v>
      </c>
    </row>
    <row r="198" ht="15.75" customHeight="1">
      <c r="A198" s="9">
        <v>197.0</v>
      </c>
      <c r="B198" s="21" t="str">
        <f>IFERROR(__xludf.DUMMYFUNCTION("""COMPUTED_VALUE"""),"The Berlin Affair")</f>
        <v>The Berlin Affair</v>
      </c>
      <c r="C198" s="21" t="str">
        <f>IFERROR(__xludf.DUMMYFUNCTION("""COMPUTED_VALUE"""),"Liliana Cavani")</f>
        <v>Liliana Cavani</v>
      </c>
      <c r="D198" s="21" t="str">
        <f>IFERROR(__xludf.DUMMYFUNCTION("""COMPUTED_VALUE"""),"1985")</f>
        <v>1985</v>
      </c>
    </row>
    <row r="199" ht="15.75" customHeight="1">
      <c r="A199" s="9">
        <v>198.0</v>
      </c>
      <c r="B199" s="21" t="str">
        <f>IFERROR(__xludf.DUMMYFUNCTION("""COMPUTED_VALUE"""),"Desert Hearts")</f>
        <v>Desert Hearts</v>
      </c>
      <c r="C199" s="21" t="str">
        <f>IFERROR(__xludf.DUMMYFUNCTION("""COMPUTED_VALUE"""),"Donna Deitch")</f>
        <v>Donna Deitch</v>
      </c>
      <c r="D199" s="21" t="str">
        <f>IFERROR(__xludf.DUMMYFUNCTION("""COMPUTED_VALUE"""),"1985")</f>
        <v>1985</v>
      </c>
    </row>
    <row r="200" ht="15.75" customHeight="1">
      <c r="A200" s="9">
        <v>199.0</v>
      </c>
      <c r="B200" s="21" t="str">
        <f>IFERROR(__xludf.DUMMYFUNCTION("""COMPUTED_VALUE"""),"Desperately Seeking Susan")</f>
        <v>Desperately Seeking Susan</v>
      </c>
      <c r="C200" s="21" t="str">
        <f>IFERROR(__xludf.DUMMYFUNCTION("""COMPUTED_VALUE"""),"Susan Seidelman")</f>
        <v>Susan Seidelman</v>
      </c>
      <c r="D200" s="21" t="str">
        <f>IFERROR(__xludf.DUMMYFUNCTION("""COMPUTED_VALUE"""),"1985")</f>
        <v>1985</v>
      </c>
    </row>
    <row r="201" ht="15.75" customHeight="1">
      <c r="A201" s="9">
        <v>200.0</v>
      </c>
      <c r="B201" s="21" t="str">
        <f>IFERROR(__xludf.DUMMYFUNCTION("""COMPUTED_VALUE"""),"Real Genius")</f>
        <v>Real Genius</v>
      </c>
      <c r="C201" s="21" t="str">
        <f>IFERROR(__xludf.DUMMYFUNCTION("""COMPUTED_VALUE"""),"Martha Coolidge")</f>
        <v>Martha Coolidge</v>
      </c>
      <c r="D201" s="21" t="str">
        <f>IFERROR(__xludf.DUMMYFUNCTION("""COMPUTED_VALUE"""),"1985")</f>
        <v>1985</v>
      </c>
    </row>
    <row r="202" ht="15.75" customHeight="1">
      <c r="A202" s="9">
        <v>201.0</v>
      </c>
      <c r="B202" s="21" t="str">
        <f>IFERROR(__xludf.DUMMYFUNCTION("""COMPUTED_VALUE"""),"Seduction: The Cruel Woman (Verführung: die grausame Frau)")</f>
        <v>Seduction: The Cruel Woman (Verführung: die grausame Frau)</v>
      </c>
      <c r="C202" s="21" t="str">
        <f>IFERROR(__xludf.DUMMYFUNCTION("""COMPUTED_VALUE"""),"Elfi Mikesch, Monika Treut")</f>
        <v>Elfi Mikesch, Monika Treut</v>
      </c>
      <c r="D202" s="21" t="str">
        <f>IFERROR(__xludf.DUMMYFUNCTION("""COMPUTED_VALUE"""),"1985")</f>
        <v>1985</v>
      </c>
    </row>
    <row r="203" ht="15.75" customHeight="1">
      <c r="A203" s="9">
        <v>202.0</v>
      </c>
      <c r="B203" s="21" t="str">
        <f>IFERROR(__xludf.DUMMYFUNCTION("""COMPUTED_VALUE"""),"Smooth Talk")</f>
        <v>Smooth Talk</v>
      </c>
      <c r="C203" s="21" t="str">
        <f>IFERROR(__xludf.DUMMYFUNCTION("""COMPUTED_VALUE"""),"Joyce Chopra")</f>
        <v>Joyce Chopra</v>
      </c>
      <c r="D203" s="21" t="str">
        <f>IFERROR(__xludf.DUMMYFUNCTION("""COMPUTED_VALUE"""),"1985")</f>
        <v>1985</v>
      </c>
    </row>
    <row r="204" ht="15.75" customHeight="1">
      <c r="A204" s="9">
        <v>203.0</v>
      </c>
      <c r="B204" s="21" t="str">
        <f>IFERROR(__xludf.DUMMYFUNCTION("""COMPUTED_VALUE"""),"Vagabond")</f>
        <v>Vagabond</v>
      </c>
      <c r="C204" s="21" t="str">
        <f>IFERROR(__xludf.DUMMYFUNCTION("""COMPUTED_VALUE"""),"Agnes Varda")</f>
        <v>Agnes Varda</v>
      </c>
      <c r="D204" s="21" t="str">
        <f>IFERROR(__xludf.DUMMYFUNCTION("""COMPUTED_VALUE"""),"1985")</f>
        <v>1985</v>
      </c>
    </row>
    <row r="205" ht="15.75" customHeight="1">
      <c r="A205" s="9">
        <v>204.0</v>
      </c>
      <c r="B205" s="21" t="str">
        <f>IFERROR(__xludf.DUMMYFUNCTION("""COMPUTED_VALUE"""),"Children of a Lesser God")</f>
        <v>Children of a Lesser God</v>
      </c>
      <c r="C205" s="21" t="str">
        <f>IFERROR(__xludf.DUMMYFUNCTION("""COMPUTED_VALUE"""),"Randa Haines")</f>
        <v>Randa Haines</v>
      </c>
      <c r="D205" s="21" t="str">
        <f>IFERROR(__xludf.DUMMYFUNCTION("""COMPUTED_VALUE"""),"1986")</f>
        <v>1986</v>
      </c>
    </row>
    <row r="206" ht="15.75" customHeight="1">
      <c r="A206" s="9">
        <v>205.0</v>
      </c>
      <c r="B206" s="21" t="str">
        <f>IFERROR(__xludf.DUMMYFUNCTION("""COMPUTED_VALUE"""),"Golden Eighties")</f>
        <v>Golden Eighties</v>
      </c>
      <c r="C206" s="21" t="str">
        <f>IFERROR(__xludf.DUMMYFUNCTION("""COMPUTED_VALUE"""),"Chantal Akerman")</f>
        <v>Chantal Akerman</v>
      </c>
      <c r="D206" s="21" t="str">
        <f>IFERROR(__xludf.DUMMYFUNCTION("""COMPUTED_VALUE"""),"1986")</f>
        <v>1986</v>
      </c>
    </row>
    <row r="207" ht="15.75" customHeight="1">
      <c r="A207" s="9">
        <v>206.0</v>
      </c>
      <c r="B207" s="21" t="str">
        <f>IFERROR(__xludf.DUMMYFUNCTION("""COMPUTED_VALUE"""),"Jumpin' Jack Flash (film)")</f>
        <v>Jumpin' Jack Flash (film)</v>
      </c>
      <c r="C207" s="21" t="str">
        <f>IFERROR(__xludf.DUMMYFUNCTION("""COMPUTED_VALUE"""),"Penny Marshall")</f>
        <v>Penny Marshall</v>
      </c>
      <c r="D207" s="21" t="str">
        <f>IFERROR(__xludf.DUMMYFUNCTION("""COMPUTED_VALUE"""),"1986")</f>
        <v>1986</v>
      </c>
    </row>
    <row r="208" ht="15.75" customHeight="1">
      <c r="A208" s="9">
        <v>207.0</v>
      </c>
      <c r="B208" s="21" t="str">
        <f>IFERROR(__xludf.DUMMYFUNCTION("""COMPUTED_VALUE"""),"Working Girls")</f>
        <v>Working Girls</v>
      </c>
      <c r="C208" s="21" t="str">
        <f>IFERROR(__xludf.DUMMYFUNCTION("""COMPUTED_VALUE"""),"Lizzie Borden")</f>
        <v>Lizzie Borden</v>
      </c>
      <c r="D208" s="21" t="str">
        <f>IFERROR(__xludf.DUMMYFUNCTION("""COMPUTED_VALUE"""),"1986")</f>
        <v>1986</v>
      </c>
    </row>
    <row r="209" ht="15.75" customHeight="1">
      <c r="A209" s="9">
        <v>208.0</v>
      </c>
      <c r="B209" s="21" t="str">
        <f>IFERROR(__xludf.DUMMYFUNCTION("""COMPUTED_VALUE"""),"He's My Girl")</f>
        <v>He's My Girl</v>
      </c>
      <c r="C209" s="21" t="str">
        <f>IFERROR(__xludf.DUMMYFUNCTION("""COMPUTED_VALUE"""),"Gabrielle Beaumont")</f>
        <v>Gabrielle Beaumont</v>
      </c>
      <c r="D209" s="21" t="str">
        <f>IFERROR(__xludf.DUMMYFUNCTION("""COMPUTED_VALUE"""),"1987")</f>
        <v>1987</v>
      </c>
    </row>
    <row r="210" ht="15.75" customHeight="1">
      <c r="A210" s="9">
        <v>209.0</v>
      </c>
      <c r="B210" s="21" t="str">
        <f>IFERROR(__xludf.DUMMYFUNCTION("""COMPUTED_VALUE"""),"High Tide")</f>
        <v>High Tide</v>
      </c>
      <c r="C210" s="21" t="str">
        <f>IFERROR(__xludf.DUMMYFUNCTION("""COMPUTED_VALUE"""),"Gillian Armstrong")</f>
        <v>Gillian Armstrong</v>
      </c>
      <c r="D210" s="21" t="str">
        <f>IFERROR(__xludf.DUMMYFUNCTION("""COMPUTED_VALUE"""),"1987")</f>
        <v>1987</v>
      </c>
    </row>
    <row r="211" ht="15.75" customHeight="1">
      <c r="A211" s="9">
        <v>210.0</v>
      </c>
      <c r="B211" s="21" t="str">
        <f>IFERROR(__xludf.DUMMYFUNCTION("""COMPUTED_VALUE"""),"Ishtar")</f>
        <v>Ishtar</v>
      </c>
      <c r="C211" s="21" t="str">
        <f>IFERROR(__xludf.DUMMYFUNCTION("""COMPUTED_VALUE"""),"Elaine May")</f>
        <v>Elaine May</v>
      </c>
      <c r="D211" s="21" t="str">
        <f>IFERROR(__xludf.DUMMYFUNCTION("""COMPUTED_VALUE"""),"1987")</f>
        <v>1987</v>
      </c>
    </row>
    <row r="212" ht="15.75" customHeight="1">
      <c r="A212" s="9">
        <v>211.0</v>
      </c>
      <c r="B212" s="21" t="str">
        <f>IFERROR(__xludf.DUMMYFUNCTION("""COMPUTED_VALUE"""),"Near Dark")</f>
        <v>Near Dark</v>
      </c>
      <c r="C212" s="21" t="str">
        <f>IFERROR(__xludf.DUMMYFUNCTION("""COMPUTED_VALUE"""),"Kathryn Bigelow")</f>
        <v>Kathryn Bigelow</v>
      </c>
      <c r="D212" s="21" t="str">
        <f>IFERROR(__xludf.DUMMYFUNCTION("""COMPUTED_VALUE"""),"1987")</f>
        <v>1987</v>
      </c>
    </row>
    <row r="213" ht="15.75" customHeight="1">
      <c r="A213" s="9">
        <v>212.0</v>
      </c>
      <c r="B213" s="21" t="str">
        <f>IFERROR(__xludf.DUMMYFUNCTION("""COMPUTED_VALUE"""),"36 Fillette")</f>
        <v>36 Fillette</v>
      </c>
      <c r="C213" s="21" t="str">
        <f>IFERROR(__xludf.DUMMYFUNCTION("""COMPUTED_VALUE"""),"Catherine Breillat")</f>
        <v>Catherine Breillat</v>
      </c>
      <c r="D213" s="21" t="str">
        <f>IFERROR(__xludf.DUMMYFUNCTION("""COMPUTED_VALUE"""),"1988")</f>
        <v>1988</v>
      </c>
    </row>
    <row r="214" ht="15.75" customHeight="1">
      <c r="A214" s="9">
        <v>213.0</v>
      </c>
      <c r="B214" s="21" t="str">
        <f>IFERROR(__xludf.DUMMYFUNCTION("""COMPUTED_VALUE"""),"Agnes Escapes from the Nursing Home")</f>
        <v>Agnes Escapes from the Nursing Home</v>
      </c>
      <c r="C214" s="21" t="str">
        <f>IFERROR(__xludf.DUMMYFUNCTION("""COMPUTED_VALUE"""),"Eileen O'Meara")</f>
        <v>Eileen O'Meara</v>
      </c>
      <c r="D214" s="21" t="str">
        <f>IFERROR(__xludf.DUMMYFUNCTION("""COMPUTED_VALUE"""),"1988")</f>
        <v>1988</v>
      </c>
    </row>
    <row r="215" ht="15.75" customHeight="1">
      <c r="A215" s="9">
        <v>214.0</v>
      </c>
      <c r="B215" s="21" t="str">
        <f>IFERROR(__xludf.DUMMYFUNCTION("""COMPUTED_VALUE"""),"Big")</f>
        <v>Big</v>
      </c>
      <c r="C215" s="21" t="str">
        <f>IFERROR(__xludf.DUMMYFUNCTION("""COMPUTED_VALUE"""),"Penny Marshall")</f>
        <v>Penny Marshall</v>
      </c>
      <c r="D215" s="21" t="str">
        <f>IFERROR(__xludf.DUMMYFUNCTION("""COMPUTED_VALUE"""),"1988")</f>
        <v>1988</v>
      </c>
    </row>
    <row r="216" ht="15.75" customHeight="1">
      <c r="A216" s="9">
        <v>215.0</v>
      </c>
      <c r="B216" s="21" t="str">
        <f>IFERROR(__xludf.DUMMYFUNCTION("""COMPUTED_VALUE"""),"Chocolat")</f>
        <v>Chocolat</v>
      </c>
      <c r="C216" s="21" t="str">
        <f>IFERROR(__xludf.DUMMYFUNCTION("""COMPUTED_VALUE"""),"Claire Denis")</f>
        <v>Claire Denis</v>
      </c>
      <c r="D216" s="21" t="str">
        <f>IFERROR(__xludf.DUMMYFUNCTION("""COMPUTED_VALUE"""),"1988")</f>
        <v>1988</v>
      </c>
    </row>
    <row r="217" ht="15.75" customHeight="1">
      <c r="A217" s="9">
        <v>216.0</v>
      </c>
      <c r="B217" s="21" t="str">
        <f>IFERROR(__xludf.DUMMYFUNCTION("""COMPUTED_VALUE"""),"Kalih Films (Kali-Filme)")</f>
        <v>Kalih Films (Kali-Filme)</v>
      </c>
      <c r="C217" s="21" t="str">
        <f>IFERROR(__xludf.DUMMYFUNCTION("""COMPUTED_VALUE"""),"Birgit Hein and Wilhelm Hein")</f>
        <v>Birgit Hein and Wilhelm Hein</v>
      </c>
      <c r="D217" s="21" t="str">
        <f>IFERROR(__xludf.DUMMYFUNCTION("""COMPUTED_VALUE"""),"1988")</f>
        <v>1988</v>
      </c>
    </row>
    <row r="218" ht="15.75" customHeight="1">
      <c r="A218" s="9">
        <v>217.0</v>
      </c>
      <c r="B218" s="21" t="str">
        <f>IFERROR(__xludf.DUMMYFUNCTION("""COMPUTED_VALUE"""),"Little Dorrit")</f>
        <v>Little Dorrit</v>
      </c>
      <c r="C218" s="21" t="str">
        <f>IFERROR(__xludf.DUMMYFUNCTION("""COMPUTED_VALUE"""),"Christine Edzard")</f>
        <v>Christine Edzard</v>
      </c>
      <c r="D218" s="21" t="str">
        <f>IFERROR(__xludf.DUMMYFUNCTION("""COMPUTED_VALUE"""),"1988")</f>
        <v>1988</v>
      </c>
    </row>
    <row r="219" ht="15.75" customHeight="1">
      <c r="A219" s="9">
        <v>218.0</v>
      </c>
      <c r="B219" s="21" t="str">
        <f>IFERROR(__xludf.DUMMYFUNCTION("""COMPUTED_VALUE"""),"Love, Women, and Flowers (Amor, Mujeres, y Flores)")</f>
        <v>Love, Women, and Flowers (Amor, Mujeres, y Flores)</v>
      </c>
      <c r="C219" s="21" t="str">
        <f>IFERROR(__xludf.DUMMYFUNCTION("""COMPUTED_VALUE"""),"Marta Rodriguez and Jorge Silva")</f>
        <v>Marta Rodriguez and Jorge Silva</v>
      </c>
      <c r="D219" s="21" t="str">
        <f>IFERROR(__xludf.DUMMYFUNCTION("""COMPUTED_VALUE"""),"1988")</f>
        <v>1988</v>
      </c>
    </row>
    <row r="220" ht="15.75" customHeight="1">
      <c r="A220" s="9">
        <v>219.0</v>
      </c>
      <c r="B220" s="21" t="str">
        <f>IFERROR(__xludf.DUMMYFUNCTION("""COMPUTED_VALUE"""),"Plain Clothes")</f>
        <v>Plain Clothes</v>
      </c>
      <c r="C220" s="21" t="str">
        <f>IFERROR(__xludf.DUMMYFUNCTION("""COMPUTED_VALUE"""),"Martha Coolidge")</f>
        <v>Martha Coolidge</v>
      </c>
      <c r="D220" s="21" t="str">
        <f>IFERROR(__xludf.DUMMYFUNCTION("""COMPUTED_VALUE"""),"1988")</f>
        <v>1988</v>
      </c>
    </row>
    <row r="221" ht="15.75" customHeight="1">
      <c r="A221" s="9">
        <v>220.0</v>
      </c>
      <c r="B221" s="21" t="str">
        <f>IFERROR(__xludf.DUMMYFUNCTION("""COMPUTED_VALUE"""),"Salaam Bombay!")</f>
        <v>Salaam Bombay!</v>
      </c>
      <c r="C221" s="21" t="str">
        <f>IFERROR(__xludf.DUMMYFUNCTION("""COMPUTED_VALUE"""),"Mira Nair")</f>
        <v>Mira Nair</v>
      </c>
      <c r="D221" s="21" t="str">
        <f>IFERROR(__xludf.DUMMYFUNCTION("""COMPUTED_VALUE"""),"1988")</f>
        <v>1988</v>
      </c>
    </row>
    <row r="222" ht="15.75" customHeight="1">
      <c r="A222" s="9">
        <v>221.0</v>
      </c>
      <c r="B222" s="21" t="str">
        <f>IFERROR(__xludf.DUMMYFUNCTION("""COMPUTED_VALUE"""),"To Kill a Priest")</f>
        <v>To Kill a Priest</v>
      </c>
      <c r="C222" s="21" t="str">
        <f>IFERROR(__xludf.DUMMYFUNCTION("""COMPUTED_VALUE"""),"Agnieszka Holland")</f>
        <v>Agnieszka Holland</v>
      </c>
      <c r="D222" s="21" t="str">
        <f>IFERROR(__xludf.DUMMYFUNCTION("""COMPUTED_VALUE"""),"1988")</f>
        <v>1988</v>
      </c>
    </row>
    <row r="223" ht="15.75" customHeight="1">
      <c r="A223" s="9">
        <v>222.0</v>
      </c>
      <c r="B223" s="21" t="str">
        <f>IFERROR(__xludf.DUMMYFUNCTION("""COMPUTED_VALUE"""),"Virgin Machine (Die Jungfrauenmaschine)")</f>
        <v>Virgin Machine (Die Jungfrauenmaschine)</v>
      </c>
      <c r="C223" s="21" t="str">
        <f>IFERROR(__xludf.DUMMYFUNCTION("""COMPUTED_VALUE"""),"Monika Treut")</f>
        <v>Monika Treut</v>
      </c>
      <c r="D223" s="21" t="str">
        <f>IFERROR(__xludf.DUMMYFUNCTION("""COMPUTED_VALUE"""),"1988")</f>
        <v>1988</v>
      </c>
    </row>
    <row r="224" ht="15.75" customHeight="1">
      <c r="A224" s="9">
        <v>223.0</v>
      </c>
      <c r="B224" s="21" t="str">
        <f>IFERROR(__xludf.DUMMYFUNCTION("""COMPUTED_VALUE"""),"American Stories: Food, Family and Philosophy (Histoires d'Amérique)")</f>
        <v>American Stories: Food, Family and Philosophy (Histoires d'Amérique)</v>
      </c>
      <c r="C224" s="21" t="str">
        <f>IFERROR(__xludf.DUMMYFUNCTION("""COMPUTED_VALUE"""),"Chantal Akerman")</f>
        <v>Chantal Akerman</v>
      </c>
      <c r="D224" s="21" t="str">
        <f>IFERROR(__xludf.DUMMYFUNCTION("""COMPUTED_VALUE"""),"1989")</f>
        <v>1989</v>
      </c>
    </row>
    <row r="225" ht="15.75" customHeight="1">
      <c r="A225" s="9">
        <v>224.0</v>
      </c>
      <c r="B225" s="21" t="str">
        <f>IFERROR(__xludf.DUMMYFUNCTION("""COMPUTED_VALUE"""),"The Asthenic Syndrome")</f>
        <v>The Asthenic Syndrome</v>
      </c>
      <c r="C225" s="21" t="str">
        <f>IFERROR(__xludf.DUMMYFUNCTION("""COMPUTED_VALUE"""),"Kira Muratova")</f>
        <v>Kira Muratova</v>
      </c>
      <c r="D225" s="21" t="str">
        <f>IFERROR(__xludf.DUMMYFUNCTION("""COMPUTED_VALUE"""),"1989")</f>
        <v>1989</v>
      </c>
    </row>
    <row r="226" ht="15.75" customHeight="1">
      <c r="A226" s="9">
        <v>225.0</v>
      </c>
      <c r="B226" s="21" t="str">
        <f>IFERROR(__xludf.DUMMYFUNCTION("""COMPUTED_VALUE"""),"A Dry White Season")</f>
        <v>A Dry White Season</v>
      </c>
      <c r="C226" s="21" t="str">
        <f>IFERROR(__xludf.DUMMYFUNCTION("""COMPUTED_VALUE"""),"Euzhan Palcy")</f>
        <v>Euzhan Palcy</v>
      </c>
      <c r="D226" s="21" t="str">
        <f>IFERROR(__xludf.DUMMYFUNCTION("""COMPUTED_VALUE"""),"1989")</f>
        <v>1989</v>
      </c>
    </row>
    <row r="227" ht="15.75" customHeight="1">
      <c r="A227" s="9">
        <v>226.0</v>
      </c>
      <c r="B227" s="21" t="str">
        <f>IFERROR(__xludf.DUMMYFUNCTION("""COMPUTED_VALUE"""),"Francesco")</f>
        <v>Francesco</v>
      </c>
      <c r="C227" s="21" t="str">
        <f>IFERROR(__xludf.DUMMYFUNCTION("""COMPUTED_VALUE"""),"Liliana Cavani")</f>
        <v>Liliana Cavani</v>
      </c>
      <c r="D227" s="21" t="str">
        <f>IFERROR(__xludf.DUMMYFUNCTION("""COMPUTED_VALUE"""),"1989")</f>
        <v>1989</v>
      </c>
    </row>
    <row r="228" ht="15.75" customHeight="1">
      <c r="A228" s="9">
        <v>227.0</v>
      </c>
      <c r="B228" s="21" t="str">
        <f>IFERROR(__xludf.DUMMYFUNCTION("""COMPUTED_VALUE"""),"Pet Sematary")</f>
        <v>Pet Sematary</v>
      </c>
      <c r="C228" s="21" t="str">
        <f>IFERROR(__xludf.DUMMYFUNCTION("""COMPUTED_VALUE"""),"Mary Lambert")</f>
        <v>Mary Lambert</v>
      </c>
      <c r="D228" s="21" t="str">
        <f>IFERROR(__xludf.DUMMYFUNCTION("""COMPUTED_VALUE"""),"1989")</f>
        <v>1989</v>
      </c>
    </row>
    <row r="229" ht="15.75" customHeight="1">
      <c r="A229" s="9">
        <v>228.0</v>
      </c>
      <c r="B229" s="21" t="str">
        <f>IFERROR(__xludf.DUMMYFUNCTION("""COMPUTED_VALUE"""),"Sweetie")</f>
        <v>Sweetie</v>
      </c>
      <c r="C229" s="21" t="str">
        <f>IFERROR(__xludf.DUMMYFUNCTION("""COMPUTED_VALUE"""),"Jane Campion")</f>
        <v>Jane Campion</v>
      </c>
      <c r="D229" s="21" t="str">
        <f>IFERROR(__xludf.DUMMYFUNCTION("""COMPUTED_VALUE"""),"1989")</f>
        <v>1989</v>
      </c>
    </row>
    <row r="230" ht="15.75" customHeight="1">
      <c r="A230" s="9">
        <v>229.0</v>
      </c>
      <c r="B230" s="21" t="str">
        <f>IFERROR(__xludf.DUMMYFUNCTION("""COMPUTED_VALUE"""),"An Angel at My Table")</f>
        <v>An Angel at My Table</v>
      </c>
      <c r="C230" s="21" t="str">
        <f>IFERROR(__xludf.DUMMYFUNCTION("""COMPUTED_VALUE"""),"Jane Campion")</f>
        <v>Jane Campion</v>
      </c>
      <c r="D230" s="21" t="str">
        <f>IFERROR(__xludf.DUMMYFUNCTION("""COMPUTED_VALUE"""),"1990")</f>
        <v>1990</v>
      </c>
    </row>
    <row r="231" ht="15.75" customHeight="1">
      <c r="A231" s="9">
        <v>230.0</v>
      </c>
      <c r="B231" s="21" t="str">
        <f>IFERROR(__xludf.DUMMYFUNCTION("""COMPUTED_VALUE"""),"Europa, Europa")</f>
        <v>Europa, Europa</v>
      </c>
      <c r="C231" s="21" t="str">
        <f>IFERROR(__xludf.DUMMYFUNCTION("""COMPUTED_VALUE"""),"Agnieszka Holland")</f>
        <v>Agnieszka Holland</v>
      </c>
      <c r="D231" s="21" t="str">
        <f>IFERROR(__xludf.DUMMYFUNCTION("""COMPUTED_VALUE"""),"1990")</f>
        <v>1990</v>
      </c>
    </row>
    <row r="232" ht="15.75" customHeight="1">
      <c r="A232" s="9">
        <v>231.0</v>
      </c>
      <c r="B232" s="21" t="str">
        <f>IFERROR(__xludf.DUMMYFUNCTION("""COMPUTED_VALUE"""),"The Lemon Sisters")</f>
        <v>The Lemon Sisters</v>
      </c>
      <c r="C232" s="21" t="str">
        <f>IFERROR(__xludf.DUMMYFUNCTION("""COMPUTED_VALUE"""),"Joyce Chopra")</f>
        <v>Joyce Chopra</v>
      </c>
      <c r="D232" s="21" t="str">
        <f>IFERROR(__xludf.DUMMYFUNCTION("""COMPUTED_VALUE"""),"1990")</f>
        <v>1990</v>
      </c>
    </row>
    <row r="233" ht="15.75" customHeight="1">
      <c r="A233" s="9">
        <v>232.0</v>
      </c>
      <c r="B233" s="21" t="str">
        <f>IFERROR(__xludf.DUMMYFUNCTION("""COMPUTED_VALUE"""),"No Fear, No Die")</f>
        <v>No Fear, No Die</v>
      </c>
      <c r="C233" s="21" t="str">
        <f>IFERROR(__xludf.DUMMYFUNCTION("""COMPUTED_VALUE"""),"Claire Denis")</f>
        <v>Claire Denis</v>
      </c>
      <c r="D233" s="21" t="str">
        <f>IFERROR(__xludf.DUMMYFUNCTION("""COMPUTED_VALUE"""),"1990")</f>
        <v>1990</v>
      </c>
    </row>
    <row r="234" ht="15.75" customHeight="1">
      <c r="A234" s="9">
        <v>233.0</v>
      </c>
      <c r="B234" s="21" t="str">
        <f>IFERROR(__xludf.DUMMYFUNCTION("""COMPUTED_VALUE"""),"Paris is Burning")</f>
        <v>Paris is Burning</v>
      </c>
      <c r="C234" s="21" t="str">
        <f>IFERROR(__xludf.DUMMYFUNCTION("""COMPUTED_VALUE"""),"Jennie Livingston")</f>
        <v>Jennie Livingston</v>
      </c>
      <c r="D234" s="21" t="str">
        <f>IFERROR(__xludf.DUMMYFUNCTION("""COMPUTED_VALUE"""),"1990")</f>
        <v>1990</v>
      </c>
    </row>
    <row r="235" ht="15.75" customHeight="1">
      <c r="A235" s="9">
        <v>234.0</v>
      </c>
      <c r="B235" s="21" t="str">
        <f>IFERROR(__xludf.DUMMYFUNCTION("""COMPUTED_VALUE"""),"American Dream")</f>
        <v>American Dream</v>
      </c>
      <c r="C235" s="21" t="str">
        <f>IFERROR(__xludf.DUMMYFUNCTION("""COMPUTED_VALUE"""),"Barbara Kopple")</f>
        <v>Barbara Kopple</v>
      </c>
      <c r="D235" s="21" t="str">
        <f>IFERROR(__xludf.DUMMYFUNCTION("""COMPUTED_VALUE"""),"1991")</f>
        <v>1991</v>
      </c>
    </row>
    <row r="236" ht="15.75" customHeight="1">
      <c r="A236" s="9">
        <v>235.0</v>
      </c>
      <c r="B236" s="21" t="str">
        <f>IFERROR(__xludf.DUMMYFUNCTION("""COMPUTED_VALUE"""),"Danzón")</f>
        <v>Danzón</v>
      </c>
      <c r="C236" s="21" t="str">
        <f>IFERROR(__xludf.DUMMYFUNCTION("""COMPUTED_VALUE"""),"Maria Novaro")</f>
        <v>Maria Novaro</v>
      </c>
      <c r="D236" s="21" t="str">
        <f>IFERROR(__xludf.DUMMYFUNCTION("""COMPUTED_VALUE"""),"1991")</f>
        <v>1991</v>
      </c>
    </row>
    <row r="237" ht="15.75" customHeight="1">
      <c r="A237" s="9">
        <v>236.0</v>
      </c>
      <c r="B237" s="21" t="str">
        <f>IFERROR(__xludf.DUMMYFUNCTION("""COMPUTED_VALUE"""),"Daughters of the Dust")</f>
        <v>Daughters of the Dust</v>
      </c>
      <c r="C237" s="21" t="str">
        <f>IFERROR(__xludf.DUMMYFUNCTION("""COMPUTED_VALUE"""),"Julie Dash")</f>
        <v>Julie Dash</v>
      </c>
      <c r="D237" s="21" t="str">
        <f>IFERROR(__xludf.DUMMYFUNCTION("""COMPUTED_VALUE"""),"1991")</f>
        <v>1991</v>
      </c>
    </row>
    <row r="238" ht="15.75" customHeight="1">
      <c r="A238" s="9">
        <v>237.0</v>
      </c>
      <c r="B238" s="21" t="str">
        <f>IFERROR(__xludf.DUMMYFUNCTION("""COMPUTED_VALUE"""),"Fires Within")</f>
        <v>Fires Within</v>
      </c>
      <c r="C238" s="21" t="str">
        <f>IFERROR(__xludf.DUMMYFUNCTION("""COMPUTED_VALUE"""),"Gillian Armstrong")</f>
        <v>Gillian Armstrong</v>
      </c>
      <c r="D238" s="21" t="str">
        <f>IFERROR(__xludf.DUMMYFUNCTION("""COMPUTED_VALUE"""),"1991")</f>
        <v>1991</v>
      </c>
    </row>
    <row r="239" ht="15.75" customHeight="1">
      <c r="A239" s="9">
        <v>238.0</v>
      </c>
      <c r="B239" s="21" t="str">
        <f>IFERROR(__xludf.DUMMYFUNCTION("""COMPUTED_VALUE"""),"Night and Day (Nuit et Jour)")</f>
        <v>Night and Day (Nuit et Jour)</v>
      </c>
      <c r="C239" s="21" t="str">
        <f>IFERROR(__xludf.DUMMYFUNCTION("""COMPUTED_VALUE"""),"Chantal Akerman")</f>
        <v>Chantal Akerman</v>
      </c>
      <c r="D239" s="21" t="str">
        <f>IFERROR(__xludf.DUMMYFUNCTION("""COMPUTED_VALUE"""),"1991")</f>
        <v>1991</v>
      </c>
    </row>
    <row r="240" ht="15.75" customHeight="1">
      <c r="A240" s="9">
        <v>239.0</v>
      </c>
      <c r="B240" s="21" t="str">
        <f>IFERROR(__xludf.DUMMYFUNCTION("""COMPUTED_VALUE"""),"A Place of Rage")</f>
        <v>A Place of Rage</v>
      </c>
      <c r="C240" s="21" t="str">
        <f>IFERROR(__xludf.DUMMYFUNCTION("""COMPUTED_VALUE"""),"Pratibha Parmar")</f>
        <v>Pratibha Parmar</v>
      </c>
      <c r="D240" s="21" t="str">
        <f>IFERROR(__xludf.DUMMYFUNCTION("""COMPUTED_VALUE"""),"1991")</f>
        <v>1991</v>
      </c>
    </row>
    <row r="241" ht="15.75" customHeight="1">
      <c r="A241" s="9">
        <v>240.0</v>
      </c>
      <c r="B241" s="21" t="str">
        <f>IFERROR(__xludf.DUMMYFUNCTION("""COMPUTED_VALUE"""),"Point Break")</f>
        <v>Point Break</v>
      </c>
      <c r="C241" s="21" t="str">
        <f>IFERROR(__xludf.DUMMYFUNCTION("""COMPUTED_VALUE"""),"Kathryn Bigelow")</f>
        <v>Kathryn Bigelow</v>
      </c>
      <c r="D241" s="21" t="str">
        <f>IFERROR(__xludf.DUMMYFUNCTION("""COMPUTED_VALUE"""),"1991")</f>
        <v>1991</v>
      </c>
    </row>
    <row r="242" ht="15.75" customHeight="1">
      <c r="A242" s="9">
        <v>241.0</v>
      </c>
      <c r="B242" s="21" t="str">
        <f>IFERROR(__xludf.DUMMYFUNCTION("""COMPUTED_VALUE"""),"The Prince of Tides")</f>
        <v>The Prince of Tides</v>
      </c>
      <c r="C242" s="21" t="str">
        <f>IFERROR(__xludf.DUMMYFUNCTION("""COMPUTED_VALUE"""),"Barbra Streisand")</f>
        <v>Barbra Streisand</v>
      </c>
      <c r="D242" s="21" t="str">
        <f>IFERROR(__xludf.DUMMYFUNCTION("""COMPUTED_VALUE"""),"1991")</f>
        <v>1991</v>
      </c>
    </row>
    <row r="243" ht="15.75" customHeight="1">
      <c r="A243" s="9">
        <v>242.0</v>
      </c>
      <c r="B243" s="21" t="str">
        <f>IFERROR(__xludf.DUMMYFUNCTION("""COMPUTED_VALUE"""),"Proof")</f>
        <v>Proof</v>
      </c>
      <c r="C243" s="21" t="str">
        <f>IFERROR(__xludf.DUMMYFUNCTION("""COMPUTED_VALUE"""),"Jocelyn Moorhouse")</f>
        <v>Jocelyn Moorhouse</v>
      </c>
      <c r="D243" s="21" t="str">
        <f>IFERROR(__xludf.DUMMYFUNCTION("""COMPUTED_VALUE"""),"1991")</f>
        <v>1991</v>
      </c>
    </row>
    <row r="244" ht="15.75" customHeight="1">
      <c r="A244" s="9">
        <v>243.0</v>
      </c>
      <c r="B244" s="21" t="str">
        <f>IFERROR(__xludf.DUMMYFUNCTION("""COMPUTED_VALUE"""),"Rambling Rose")</f>
        <v>Rambling Rose</v>
      </c>
      <c r="C244" s="21" t="str">
        <f>IFERROR(__xludf.DUMMYFUNCTION("""COMPUTED_VALUE"""),"Martha Coolidge")</f>
        <v>Martha Coolidge</v>
      </c>
      <c r="D244" s="21" t="str">
        <f>IFERROR(__xludf.DUMMYFUNCTION("""COMPUTED_VALUE"""),"1991")</f>
        <v>1991</v>
      </c>
    </row>
    <row r="245" ht="15.75" customHeight="1">
      <c r="A245" s="9">
        <v>244.0</v>
      </c>
      <c r="B245" s="21" t="str">
        <f>IFERROR(__xludf.DUMMYFUNCTION("""COMPUTED_VALUE"""),"Thousand Pieces of Gold")</f>
        <v>Thousand Pieces of Gold</v>
      </c>
      <c r="C245" s="21" t="str">
        <f>IFERROR(__xludf.DUMMYFUNCTION("""COMPUTED_VALUE"""),"Nancy Kelly")</f>
        <v>Nancy Kelly</v>
      </c>
      <c r="D245" s="21" t="str">
        <f>IFERROR(__xludf.DUMMYFUNCTION("""COMPUTED_VALUE"""),"1991")</f>
        <v>1991</v>
      </c>
    </row>
    <row r="246" ht="15.75" customHeight="1">
      <c r="A246" s="9">
        <v>245.0</v>
      </c>
      <c r="B246" s="21" t="str">
        <f>IFERROR(__xludf.DUMMYFUNCTION("""COMPUTED_VALUE"""),"Gas Food Lodging")</f>
        <v>Gas Food Lodging</v>
      </c>
      <c r="C246" s="21" t="str">
        <f>IFERROR(__xludf.DUMMYFUNCTION("""COMPUTED_VALUE"""),"Allison Anders")</f>
        <v>Allison Anders</v>
      </c>
      <c r="D246" s="21" t="str">
        <f>IFERROR(__xludf.DUMMYFUNCTION("""COMPUTED_VALUE"""),"1992")</f>
        <v>1992</v>
      </c>
    </row>
    <row r="247" ht="15.75" customHeight="1">
      <c r="A247" s="9">
        <v>246.0</v>
      </c>
      <c r="B247" s="21" t="str">
        <f>IFERROR(__xludf.DUMMYFUNCTION("""COMPUTED_VALUE"""),"History and Memory: For Akiko and Takashige")</f>
        <v>History and Memory: For Akiko and Takashige</v>
      </c>
      <c r="C247" s="21" t="str">
        <f>IFERROR(__xludf.DUMMYFUNCTION("""COMPUTED_VALUE"""),"Rea Tajiri")</f>
        <v>Rea Tajiri</v>
      </c>
      <c r="D247" s="21" t="str">
        <f>IFERROR(__xludf.DUMMYFUNCTION("""COMPUTED_VALUE"""),"1992")</f>
        <v>1992</v>
      </c>
    </row>
    <row r="248" ht="15.75" customHeight="1">
      <c r="A248" s="9">
        <v>247.0</v>
      </c>
      <c r="B248" s="21" t="str">
        <f>IFERROR(__xludf.DUMMYFUNCTION("""COMPUTED_VALUE"""),"The Last Days of Chez Nous")</f>
        <v>The Last Days of Chez Nous</v>
      </c>
      <c r="C248" s="21" t="str">
        <f>IFERROR(__xludf.DUMMYFUNCTION("""COMPUTED_VALUE"""),"Gillian Armstrong")</f>
        <v>Gillian Armstrong</v>
      </c>
      <c r="D248" s="21" t="str">
        <f>IFERROR(__xludf.DUMMYFUNCTION("""COMPUTED_VALUE"""),"1992")</f>
        <v>1992</v>
      </c>
    </row>
    <row r="249" ht="15.75" customHeight="1">
      <c r="A249" s="9">
        <v>248.0</v>
      </c>
      <c r="B249" s="21" t="str">
        <f>IFERROR(__xludf.DUMMYFUNCTION("""COMPUTED_VALUE"""),"A League of Their Own")</f>
        <v>A League of Their Own</v>
      </c>
      <c r="C249" s="21" t="str">
        <f>IFERROR(__xludf.DUMMYFUNCTION("""COMPUTED_VALUE"""),"Penny Marshall")</f>
        <v>Penny Marshall</v>
      </c>
      <c r="D249" s="21" t="str">
        <f>IFERROR(__xludf.DUMMYFUNCTION("""COMPUTED_VALUE"""),"1992")</f>
        <v>1992</v>
      </c>
    </row>
    <row r="250" ht="15.75" customHeight="1">
      <c r="A250" s="9">
        <v>249.0</v>
      </c>
      <c r="B250" s="21" t="str">
        <f>IFERROR(__xludf.DUMMYFUNCTION("""COMPUTED_VALUE"""),"Little Noises")</f>
        <v>Little Noises</v>
      </c>
      <c r="C250" s="21" t="str">
        <f>IFERROR(__xludf.DUMMYFUNCTION("""COMPUTED_VALUE"""),"Jane Spencer")</f>
        <v>Jane Spencer</v>
      </c>
      <c r="D250" s="21" t="str">
        <f>IFERROR(__xludf.DUMMYFUNCTION("""COMPUTED_VALUE"""),"1992")</f>
        <v>1992</v>
      </c>
    </row>
    <row r="251" ht="15.75" customHeight="1">
      <c r="A251" s="9">
        <v>250.0</v>
      </c>
      <c r="B251" s="21" t="str">
        <f>IFERROR(__xludf.DUMMYFUNCTION("""COMPUTED_VALUE"""),"Olivier, Olivier")</f>
        <v>Olivier, Olivier</v>
      </c>
      <c r="C251" s="21" t="str">
        <f>IFERROR(__xludf.DUMMYFUNCTION("""COMPUTED_VALUE"""),"Agnieszka Holland")</f>
        <v>Agnieszka Holland</v>
      </c>
      <c r="D251" s="21" t="str">
        <f>IFERROR(__xludf.DUMMYFUNCTION("""COMPUTED_VALUE"""),"1992")</f>
        <v>1992</v>
      </c>
    </row>
    <row r="252" ht="15.75" customHeight="1">
      <c r="A252" s="9">
        <v>251.0</v>
      </c>
      <c r="B252" s="21" t="str">
        <f>IFERROR(__xludf.DUMMYFUNCTION("""COMPUTED_VALUE"""),"Orlando")</f>
        <v>Orlando</v>
      </c>
      <c r="C252" s="21" t="str">
        <f>IFERROR(__xludf.DUMMYFUNCTION("""COMPUTED_VALUE"""),"Sally Potter")</f>
        <v>Sally Potter</v>
      </c>
      <c r="D252" s="21" t="str">
        <f>IFERROR(__xludf.DUMMYFUNCTION("""COMPUTED_VALUE"""),"1992")</f>
        <v>1992</v>
      </c>
    </row>
    <row r="253" ht="15.75" customHeight="1">
      <c r="A253" s="9">
        <v>252.0</v>
      </c>
      <c r="B253" s="21" t="str">
        <f>IFERROR(__xludf.DUMMYFUNCTION("""COMPUTED_VALUE"""),"Seeing Red")</f>
        <v>Seeing Red</v>
      </c>
      <c r="C253" s="21" t="str">
        <f>IFERROR(__xludf.DUMMYFUNCTION("""COMPUTED_VALUE"""),"Virginia Rouse")</f>
        <v>Virginia Rouse</v>
      </c>
      <c r="D253" s="21" t="str">
        <f>IFERROR(__xludf.DUMMYFUNCTION("""COMPUTED_VALUE"""),"1992")</f>
        <v>1992</v>
      </c>
    </row>
    <row r="254" ht="15.75" customHeight="1">
      <c r="A254" s="9">
        <v>253.0</v>
      </c>
      <c r="B254" s="21" t="str">
        <f>IFERROR(__xludf.DUMMYFUNCTION("""COMPUTED_VALUE"""),"Wayne's World")</f>
        <v>Wayne's World</v>
      </c>
      <c r="C254" s="21" t="str">
        <f>IFERROR(__xludf.DUMMYFUNCTION("""COMPUTED_VALUE"""),"Penelope Spheeris")</f>
        <v>Penelope Spheeris</v>
      </c>
      <c r="D254" s="21" t="str">
        <f>IFERROR(__xludf.DUMMYFUNCTION("""COMPUTED_VALUE"""),"1992")</f>
        <v>1992</v>
      </c>
    </row>
    <row r="255" ht="15.75" customHeight="1">
      <c r="A255" s="9">
        <v>254.0</v>
      </c>
      <c r="B255" s="21" t="str">
        <f>IFERROR(__xludf.DUMMYFUNCTION("""COMPUTED_VALUE"""),"Bhaji on the Beach")</f>
        <v>Bhaji on the Beach</v>
      </c>
      <c r="C255" s="21" t="str">
        <f>IFERROR(__xludf.DUMMYFUNCTION("""COMPUTED_VALUE"""),"Gurinder Chadha")</f>
        <v>Gurinder Chadha</v>
      </c>
      <c r="D255" s="21" t="str">
        <f>IFERROR(__xludf.DUMMYFUNCTION("""COMPUTED_VALUE"""),"1993")</f>
        <v>1993</v>
      </c>
    </row>
    <row r="256" ht="15.75" customHeight="1">
      <c r="A256" s="9">
        <v>255.0</v>
      </c>
      <c r="B256" s="21" t="str">
        <f>IFERROR(__xludf.DUMMYFUNCTION("""COMPUTED_VALUE"""),"Lost in Yonkers")</f>
        <v>Lost in Yonkers</v>
      </c>
      <c r="C256" s="21" t="str">
        <f>IFERROR(__xludf.DUMMYFUNCTION("""COMPUTED_VALUE"""),"Martha Coolidge")</f>
        <v>Martha Coolidge</v>
      </c>
      <c r="D256" s="21" t="str">
        <f>IFERROR(__xludf.DUMMYFUNCTION("""COMPUTED_VALUE"""),"1993")</f>
        <v>1993</v>
      </c>
    </row>
    <row r="257" ht="15.75" customHeight="1">
      <c r="A257" s="9">
        <v>256.0</v>
      </c>
      <c r="B257" s="21" t="str">
        <f>IFERROR(__xludf.DUMMYFUNCTION("""COMPUTED_VALUE"""),"The Secret Garden")</f>
        <v>The Secret Garden</v>
      </c>
      <c r="C257" s="21" t="str">
        <f>IFERROR(__xludf.DUMMYFUNCTION("""COMPUTED_VALUE"""),"Agnieszka Holland")</f>
        <v>Agnieszka Holland</v>
      </c>
      <c r="D257" s="21" t="str">
        <f>IFERROR(__xludf.DUMMYFUNCTION("""COMPUTED_VALUE"""),"1993")</f>
        <v>1993</v>
      </c>
    </row>
    <row r="258" ht="15.75" customHeight="1">
      <c r="A258" s="9">
        <v>257.0</v>
      </c>
      <c r="B258" s="21" t="str">
        <f>IFERROR(__xludf.DUMMYFUNCTION("""COMPUTED_VALUE"""),"Sleepless in Seattle")</f>
        <v>Sleepless in Seattle</v>
      </c>
      <c r="C258" s="21" t="str">
        <f>IFERROR(__xludf.DUMMYFUNCTION("""COMPUTED_VALUE"""),"Nora Ephron")</f>
        <v>Nora Ephron</v>
      </c>
      <c r="D258" s="21" t="str">
        <f>IFERROR(__xludf.DUMMYFUNCTION("""COMPUTED_VALUE"""),"1993")</f>
        <v>1993</v>
      </c>
    </row>
    <row r="259" ht="15.75" customHeight="1">
      <c r="A259" s="9">
        <v>258.0</v>
      </c>
      <c r="B259" s="21" t="str">
        <f>IFERROR(__xludf.DUMMYFUNCTION("""COMPUTED_VALUE"""),"Where Are You? I'm Here (Dove Siete? Io Sono Qui)")</f>
        <v>Where Are You? I'm Here (Dove Siete? Io Sono Qui)</v>
      </c>
      <c r="C259" s="21" t="str">
        <f>IFERROR(__xludf.DUMMYFUNCTION("""COMPUTED_VALUE"""),"Liliana Cavani")</f>
        <v>Liliana Cavani</v>
      </c>
      <c r="D259" s="21" t="str">
        <f>IFERROR(__xludf.DUMMYFUNCTION("""COMPUTED_VALUE"""),"1993")</f>
        <v>1993</v>
      </c>
    </row>
    <row r="260" ht="15.75" customHeight="1">
      <c r="A260" s="9">
        <v>259.0</v>
      </c>
      <c r="B260" s="21" t="str">
        <f>IFERROR(__xludf.DUMMYFUNCTION("""COMPUTED_VALUE"""),"Angie")</f>
        <v>Angie</v>
      </c>
      <c r="C260" s="21" t="str">
        <f>IFERROR(__xludf.DUMMYFUNCTION("""COMPUTED_VALUE"""),"Martha Coolidge")</f>
        <v>Martha Coolidge</v>
      </c>
      <c r="D260" s="21" t="str">
        <f>IFERROR(__xludf.DUMMYFUNCTION("""COMPUTED_VALUE"""),"1994")</f>
        <v>1994</v>
      </c>
    </row>
    <row r="261" ht="15.75" customHeight="1">
      <c r="A261" s="9">
        <v>260.0</v>
      </c>
      <c r="B261" s="21" t="str">
        <f>IFERROR(__xludf.DUMMYFUNCTION("""COMPUTED_VALUE"""),"Black Beauty")</f>
        <v>Black Beauty</v>
      </c>
      <c r="C261" s="21" t="str">
        <f>IFERROR(__xludf.DUMMYFUNCTION("""COMPUTED_VALUE"""),"Caroline Thompson")</f>
        <v>Caroline Thompson</v>
      </c>
      <c r="D261" s="21" t="str">
        <f>IFERROR(__xludf.DUMMYFUNCTION("""COMPUTED_VALUE"""),"1994")</f>
        <v>1994</v>
      </c>
    </row>
    <row r="262" ht="15.75" customHeight="1">
      <c r="A262" s="9">
        <v>261.0</v>
      </c>
      <c r="B262" s="21" t="str">
        <f>IFERROR(__xludf.DUMMYFUNCTION("""COMPUTED_VALUE"""),"Complaints of a Dutiful Daughter")</f>
        <v>Complaints of a Dutiful Daughter</v>
      </c>
      <c r="C262" s="21" t="str">
        <f>IFERROR(__xludf.DUMMYFUNCTION("""COMPUTED_VALUE"""),"Deborah Hoffmann")</f>
        <v>Deborah Hoffmann</v>
      </c>
      <c r="D262" s="21" t="str">
        <f>IFERROR(__xludf.DUMMYFUNCTION("""COMPUTED_VALUE"""),"1994")</f>
        <v>1994</v>
      </c>
    </row>
    <row r="263" ht="15.75" customHeight="1">
      <c r="A263" s="9">
        <v>262.0</v>
      </c>
      <c r="B263" s="21" t="str">
        <f>IFERROR(__xludf.DUMMYFUNCTION("""COMPUTED_VALUE"""),"I Can't Sleep")</f>
        <v>I Can't Sleep</v>
      </c>
      <c r="C263" s="21" t="str">
        <f>IFERROR(__xludf.DUMMYFUNCTION("""COMPUTED_VALUE"""),"Claire Denis")</f>
        <v>Claire Denis</v>
      </c>
      <c r="D263" s="21" t="str">
        <f>IFERROR(__xludf.DUMMYFUNCTION("""COMPUTED_VALUE"""),"1994")</f>
        <v>1994</v>
      </c>
    </row>
    <row r="264" ht="15.75" customHeight="1">
      <c r="A264" s="9">
        <v>263.0</v>
      </c>
      <c r="B264" s="21" t="str">
        <f>IFERROR(__xludf.DUMMYFUNCTION("""COMPUTED_VALUE"""),"Little Women")</f>
        <v>Little Women</v>
      </c>
      <c r="C264" s="21" t="str">
        <f>IFERROR(__xludf.DUMMYFUNCTION("""COMPUTED_VALUE"""),"Gillian Armstrong")</f>
        <v>Gillian Armstrong</v>
      </c>
      <c r="D264" s="21" t="str">
        <f>IFERROR(__xludf.DUMMYFUNCTION("""COMPUTED_VALUE"""),"1994")</f>
        <v>1994</v>
      </c>
    </row>
    <row r="265" ht="15.75" customHeight="1">
      <c r="A265" s="9">
        <v>264.0</v>
      </c>
      <c r="B265" s="21" t="str">
        <f>IFERROR(__xludf.DUMMYFUNCTION("""COMPUTED_VALUE"""),"Mi Vida Loca")</f>
        <v>Mi Vida Loca</v>
      </c>
      <c r="C265" s="21" t="str">
        <f>IFERROR(__xludf.DUMMYFUNCTION("""COMPUTED_VALUE"""),"Allison Anders")</f>
        <v>Allison Anders</v>
      </c>
      <c r="D265" s="21" t="str">
        <f>IFERROR(__xludf.DUMMYFUNCTION("""COMPUTED_VALUE"""),"1994")</f>
        <v>1994</v>
      </c>
    </row>
    <row r="266" ht="15.75" customHeight="1">
      <c r="A266" s="9">
        <v>265.0</v>
      </c>
      <c r="B266" s="21" t="str">
        <f>IFERROR(__xludf.DUMMYFUNCTION("""COMPUTED_VALUE"""),"The Piano")</f>
        <v>The Piano</v>
      </c>
      <c r="C266" s="21" t="str">
        <f>IFERROR(__xludf.DUMMYFUNCTION("""COMPUTED_VALUE"""),"Jane Campion")</f>
        <v>Jane Campion</v>
      </c>
      <c r="D266" s="21" t="str">
        <f>IFERROR(__xludf.DUMMYFUNCTION("""COMPUTED_VALUE"""),"1994")</f>
        <v>1994</v>
      </c>
    </row>
    <row r="267" ht="15.75" customHeight="1">
      <c r="A267" s="9">
        <v>266.0</v>
      </c>
      <c r="B267" s="21" t="str">
        <f>IFERROR(__xludf.DUMMYFUNCTION("""COMPUTED_VALUE"""),"River of Grass")</f>
        <v>River of Grass</v>
      </c>
      <c r="C267" s="21" t="str">
        <f>IFERROR(__xludf.DUMMYFUNCTION("""COMPUTED_VALUE"""),"Kelly Reichardt")</f>
        <v>Kelly Reichardt</v>
      </c>
      <c r="D267" s="21" t="str">
        <f>IFERROR(__xludf.DUMMYFUNCTION("""COMPUTED_VALUE"""),"1994")</f>
        <v>1994</v>
      </c>
    </row>
    <row r="268" ht="15.75" customHeight="1">
      <c r="A268" s="9">
        <v>267.0</v>
      </c>
      <c r="B268" s="21" t="str">
        <f>IFERROR(__xludf.DUMMYFUNCTION("""COMPUTED_VALUE"""),"Antonia's Line")</f>
        <v>Antonia's Line</v>
      </c>
      <c r="C268" s="21" t="str">
        <f>IFERROR(__xludf.DUMMYFUNCTION("""COMPUTED_VALUE"""),"Marleen Gorris")</f>
        <v>Marleen Gorris</v>
      </c>
      <c r="D268" s="21" t="str">
        <f>IFERROR(__xludf.DUMMYFUNCTION("""COMPUTED_VALUE"""),"1995")</f>
        <v>1995</v>
      </c>
    </row>
    <row r="269" ht="15.75" customHeight="1">
      <c r="A269" s="9">
        <v>268.0</v>
      </c>
      <c r="B269" s="21" t="str">
        <f>IFERROR(__xludf.DUMMYFUNCTION("""COMPUTED_VALUE"""),"At all costs (Coûte que coûte)")</f>
        <v>At all costs (Coûte que coûte)</v>
      </c>
      <c r="C269" s="21" t="str">
        <f>IFERROR(__xludf.DUMMYFUNCTION("""COMPUTED_VALUE"""),"Claire Simon")</f>
        <v>Claire Simon</v>
      </c>
      <c r="D269" s="21" t="str">
        <f>IFERROR(__xludf.DUMMYFUNCTION("""COMPUTED_VALUE"""),"1995")</f>
        <v>1995</v>
      </c>
      <c r="E269" s="21" t="s">
        <v>1750</v>
      </c>
      <c r="F269" s="21" t="s">
        <v>1750</v>
      </c>
    </row>
    <row r="270" ht="15.75" customHeight="1">
      <c r="A270" s="9">
        <v>269.0</v>
      </c>
      <c r="B270" s="21" t="str">
        <f>IFERROR(__xludf.DUMMYFUNCTION("""COMPUTED_VALUE"""),"Billy Madison")</f>
        <v>Billy Madison</v>
      </c>
      <c r="C270" s="21" t="str">
        <f>IFERROR(__xludf.DUMMYFUNCTION("""COMPUTED_VALUE"""),"Tamra Davis")</f>
        <v>Tamra Davis</v>
      </c>
      <c r="D270" s="21" t="str">
        <f>IFERROR(__xludf.DUMMYFUNCTION("""COMPUTED_VALUE"""),"1995")</f>
        <v>1995</v>
      </c>
    </row>
    <row r="271" ht="15.75" customHeight="1">
      <c r="A271" s="9">
        <v>270.0</v>
      </c>
      <c r="B271" s="21" t="str">
        <f>IFERROR(__xludf.DUMMYFUNCTION("""COMPUTED_VALUE"""),"Clueless")</f>
        <v>Clueless</v>
      </c>
      <c r="C271" s="21" t="str">
        <f>IFERROR(__xludf.DUMMYFUNCTION("""COMPUTED_VALUE"""),"Amy Heckerling")</f>
        <v>Amy Heckerling</v>
      </c>
      <c r="D271" s="21" t="str">
        <f>IFERROR(__xludf.DUMMYFUNCTION("""COMPUTED_VALUE"""),"1995")</f>
        <v>1995</v>
      </c>
    </row>
    <row r="272" ht="15.75" customHeight="1">
      <c r="A272" s="9">
        <v>271.0</v>
      </c>
      <c r="B272" s="21" t="str">
        <f>IFERROR(__xludf.DUMMYFUNCTION("""COMPUTED_VALUE"""),"Party Girl")</f>
        <v>Party Girl</v>
      </c>
      <c r="C272" s="21" t="str">
        <f>IFERROR(__xludf.DUMMYFUNCTION("""COMPUTED_VALUE"""),"Daisy von Scherler Mayer")</f>
        <v>Daisy von Scherler Mayer</v>
      </c>
      <c r="D272" s="21" t="str">
        <f>IFERROR(__xludf.DUMMYFUNCTION("""COMPUTED_VALUE"""),"1995")</f>
        <v>1995</v>
      </c>
    </row>
    <row r="273" ht="15.75" customHeight="1">
      <c r="A273" s="9">
        <v>272.0</v>
      </c>
      <c r="B273" s="21" t="str">
        <f>IFERROR(__xludf.DUMMYFUNCTION("""COMPUTED_VALUE"""),"Strange Days")</f>
        <v>Strange Days</v>
      </c>
      <c r="C273" s="21" t="str">
        <f>IFERROR(__xludf.DUMMYFUNCTION("""COMPUTED_VALUE"""),"Kathryn Bigelow")</f>
        <v>Kathryn Bigelow</v>
      </c>
      <c r="D273" s="21" t="str">
        <f>IFERROR(__xludf.DUMMYFUNCTION("""COMPUTED_VALUE"""),"1995")</f>
        <v>1995</v>
      </c>
      <c r="E273" s="21" t="s">
        <v>1751</v>
      </c>
      <c r="F273" s="21" t="s">
        <v>1751</v>
      </c>
    </row>
    <row r="274" ht="15.75" customHeight="1">
      <c r="A274" s="9">
        <v>273.0</v>
      </c>
      <c r="B274" s="21" t="str">
        <f>IFERROR(__xludf.DUMMYFUNCTION("""COMPUTED_VALUE"""),"Three Wishes")</f>
        <v>Three Wishes</v>
      </c>
      <c r="C274" s="21" t="str">
        <f>IFERROR(__xludf.DUMMYFUNCTION("""COMPUTED_VALUE"""),"Martha Coolidge")</f>
        <v>Martha Coolidge</v>
      </c>
      <c r="D274" s="21" t="str">
        <f>IFERROR(__xludf.DUMMYFUNCTION("""COMPUTED_VALUE"""),"1995")</f>
        <v>1995</v>
      </c>
    </row>
    <row r="275" ht="15.75" customHeight="1">
      <c r="A275" s="9">
        <v>274.0</v>
      </c>
      <c r="B275" s="21" t="str">
        <f>IFERROR(__xludf.DUMMYFUNCTION("""COMPUTED_VALUE"""),"Total Eclipse")</f>
        <v>Total Eclipse</v>
      </c>
      <c r="C275" s="21" t="str">
        <f>IFERROR(__xludf.DUMMYFUNCTION("""COMPUTED_VALUE"""),"Agnieszka Holland")</f>
        <v>Agnieszka Holland</v>
      </c>
      <c r="D275" s="21" t="str">
        <f>IFERROR(__xludf.DUMMYFUNCTION("""COMPUTED_VALUE"""),"1995")</f>
        <v>1995</v>
      </c>
    </row>
    <row r="276" ht="15.75" customHeight="1">
      <c r="A276" s="9">
        <v>275.0</v>
      </c>
      <c r="B276" s="21" t="str">
        <f>IFERROR(__xludf.DUMMYFUNCTION("""COMPUTED_VALUE"""),"A Couch in New York (Un divan à New York)")</f>
        <v>A Couch in New York (Un divan à New York)</v>
      </c>
      <c r="C276" s="21" t="str">
        <f>IFERROR(__xludf.DUMMYFUNCTION("""COMPUTED_VALUE"""),"Chantal Akerman")</f>
        <v>Chantal Akerman</v>
      </c>
      <c r="D276" s="21" t="str">
        <f>IFERROR(__xludf.DUMMYFUNCTION("""COMPUTED_VALUE"""),"1996")</f>
        <v>1996</v>
      </c>
    </row>
    <row r="277" ht="15.75" customHeight="1">
      <c r="A277" s="9">
        <v>276.0</v>
      </c>
      <c r="B277" s="21" t="str">
        <f>IFERROR(__xludf.DUMMYFUNCTION("""COMPUTED_VALUE"""),"Fire")</f>
        <v>Fire</v>
      </c>
      <c r="C277" s="21" t="str">
        <f>IFERROR(__xludf.DUMMYFUNCTION("""COMPUTED_VALUE"""),"Deepa Mehta")</f>
        <v>Deepa Mehta</v>
      </c>
      <c r="D277" s="21" t="str">
        <f>IFERROR(__xludf.DUMMYFUNCTION("""COMPUTED_VALUE"""),"1996")</f>
        <v>1996</v>
      </c>
    </row>
    <row r="278" ht="15.75" customHeight="1">
      <c r="A278" s="9">
        <v>277.0</v>
      </c>
      <c r="B278" s="21" t="str">
        <f>IFERROR(__xludf.DUMMYFUNCTION("""COMPUTED_VALUE"""),"Foxfire")</f>
        <v>Foxfire</v>
      </c>
      <c r="C278" s="21" t="str">
        <f>IFERROR(__xludf.DUMMYFUNCTION("""COMPUTED_VALUE"""),"Annette Haywood-Carter")</f>
        <v>Annette Haywood-Carter</v>
      </c>
      <c r="D278" s="21" t="str">
        <f>IFERROR(__xludf.DUMMYFUNCTION("""COMPUTED_VALUE"""),"1996")</f>
        <v>1996</v>
      </c>
    </row>
    <row r="279" ht="15.75" customHeight="1">
      <c r="A279" s="9">
        <v>278.0</v>
      </c>
      <c r="B279" s="21" t="str">
        <f>IFERROR(__xludf.DUMMYFUNCTION("""COMPUTED_VALUE"""),"I Shot Andy Warhol")</f>
        <v>I Shot Andy Warhol</v>
      </c>
      <c r="C279" s="21" t="str">
        <f>IFERROR(__xludf.DUMMYFUNCTION("""COMPUTED_VALUE"""),"Mary Harron")</f>
        <v>Mary Harron</v>
      </c>
      <c r="D279" s="21" t="str">
        <f>IFERROR(__xludf.DUMMYFUNCTION("""COMPUTED_VALUE"""),"1996")</f>
        <v>1996</v>
      </c>
    </row>
    <row r="280" ht="15.75" customHeight="1">
      <c r="A280" s="9">
        <v>279.0</v>
      </c>
      <c r="B280" s="21" t="str">
        <f>IFERROR(__xludf.DUMMYFUNCTION("""COMPUTED_VALUE"""),"The Mirror Has Two Faces")</f>
        <v>The Mirror Has Two Faces</v>
      </c>
      <c r="C280" s="21" t="str">
        <f>IFERROR(__xludf.DUMMYFUNCTION("""COMPUTED_VALUE"""),"Barbra Streisand")</f>
        <v>Barbra Streisand</v>
      </c>
      <c r="D280" s="21" t="str">
        <f>IFERROR(__xludf.DUMMYFUNCTION("""COMPUTED_VALUE"""),"1996")</f>
        <v>1996</v>
      </c>
    </row>
    <row r="281" ht="15.75" customHeight="1">
      <c r="A281" s="9">
        <v>280.0</v>
      </c>
      <c r="B281" s="21" t="str">
        <f>IFERROR(__xludf.DUMMYFUNCTION("""COMPUTED_VALUE"""),"Nénette and Boni")</f>
        <v>Nénette and Boni</v>
      </c>
      <c r="C281" s="21" t="str">
        <f>IFERROR(__xludf.DUMMYFUNCTION("""COMPUTED_VALUE"""),"Claire Denis")</f>
        <v>Claire Denis</v>
      </c>
      <c r="D281" s="21" t="str">
        <f>IFERROR(__xludf.DUMMYFUNCTION("""COMPUTED_VALUE"""),"1996")</f>
        <v>1996</v>
      </c>
    </row>
    <row r="282" ht="15.75" customHeight="1">
      <c r="A282" s="9">
        <v>281.0</v>
      </c>
      <c r="B282" s="21" t="str">
        <f>IFERROR(__xludf.DUMMYFUNCTION("""COMPUTED_VALUE"""),"The Portrait of a Lady")</f>
        <v>The Portrait of a Lady</v>
      </c>
      <c r="C282" s="21" t="str">
        <f>IFERROR(__xludf.DUMMYFUNCTION("""COMPUTED_VALUE"""),"Jane Campion")</f>
        <v>Jane Campion</v>
      </c>
      <c r="D282" s="21" t="str">
        <f>IFERROR(__xludf.DUMMYFUNCTION("""COMPUTED_VALUE"""),"1996")</f>
        <v>1996</v>
      </c>
    </row>
    <row r="283" ht="15.75" customHeight="1">
      <c r="A283" s="9">
        <v>282.0</v>
      </c>
      <c r="B283" s="21" t="str">
        <f>IFERROR(__xludf.DUMMYFUNCTION("""COMPUTED_VALUE"""),"Unstrung Heroes")</f>
        <v>Unstrung Heroes</v>
      </c>
      <c r="C283" s="21" t="str">
        <f>IFERROR(__xludf.DUMMYFUNCTION("""COMPUTED_VALUE"""),"Diane Keaton")</f>
        <v>Diane Keaton</v>
      </c>
      <c r="D283" s="21" t="str">
        <f>IFERROR(__xludf.DUMMYFUNCTION("""COMPUTED_VALUE"""),"1996")</f>
        <v>1996</v>
      </c>
    </row>
    <row r="284" ht="15.75" customHeight="1">
      <c r="A284" s="9">
        <v>283.0</v>
      </c>
      <c r="B284" s="21" t="str">
        <f>IFERROR(__xludf.DUMMYFUNCTION("""COMPUTED_VALUE"""),"White Men Are Cracking Up")</f>
        <v>White Men Are Cracking Up</v>
      </c>
      <c r="C284" s="21" t="str">
        <f>IFERROR(__xludf.DUMMYFUNCTION("""COMPUTED_VALUE"""),"Ngozi Onwurah")</f>
        <v>Ngozi Onwurah</v>
      </c>
      <c r="D284" s="21" t="str">
        <f>IFERROR(__xludf.DUMMYFUNCTION("""COMPUTED_VALUE"""),"1996")</f>
        <v>1996</v>
      </c>
    </row>
    <row r="285" ht="15.75" customHeight="1">
      <c r="A285" s="9">
        <v>284.0</v>
      </c>
      <c r="B285" s="21" t="str">
        <f>IFERROR(__xludf.DUMMYFUNCTION("""COMPUTED_VALUE"""),"Oscar and Lucinda")</f>
        <v>Oscar and Lucinda</v>
      </c>
      <c r="C285" s="21" t="str">
        <f>IFERROR(__xludf.DUMMYFUNCTION("""COMPUTED_VALUE"""),"Gillian Armstrong")</f>
        <v>Gillian Armstrong</v>
      </c>
      <c r="D285" s="21" t="str">
        <f>IFERROR(__xludf.DUMMYFUNCTION("""COMPUTED_VALUE"""),"1997")</f>
        <v>1997</v>
      </c>
    </row>
    <row r="286" ht="15.75" customHeight="1">
      <c r="A286" s="9">
        <v>285.0</v>
      </c>
      <c r="B286" s="21" t="str">
        <f>IFERROR(__xludf.DUMMYFUNCTION("""COMPUTED_VALUE"""),"Out to Sea")</f>
        <v>Out to Sea</v>
      </c>
      <c r="C286" s="21" t="str">
        <f>IFERROR(__xludf.DUMMYFUNCTION("""COMPUTED_VALUE"""),"Martha Coolidge")</f>
        <v>Martha Coolidge</v>
      </c>
      <c r="D286" s="21" t="str">
        <f>IFERROR(__xludf.DUMMYFUNCTION("""COMPUTED_VALUE"""),"1997")</f>
        <v>1997</v>
      </c>
    </row>
    <row r="287" ht="15.75" customHeight="1">
      <c r="A287" s="9">
        <v>286.0</v>
      </c>
      <c r="B287" s="21" t="str">
        <f>IFERROR(__xludf.DUMMYFUNCTION("""COMPUTED_VALUE"""),"The Peacemaker")</f>
        <v>The Peacemaker</v>
      </c>
      <c r="C287" s="21" t="str">
        <f>IFERROR(__xludf.DUMMYFUNCTION("""COMPUTED_VALUE"""),"Mimi Leder")</f>
        <v>Mimi Leder</v>
      </c>
      <c r="D287" s="21" t="str">
        <f>IFERROR(__xludf.DUMMYFUNCTION("""COMPUTED_VALUE"""),"1997")</f>
        <v>1997</v>
      </c>
    </row>
    <row r="288" ht="15.75" customHeight="1">
      <c r="A288" s="9">
        <v>287.0</v>
      </c>
      <c r="B288" s="21" t="str">
        <f>IFERROR(__xludf.DUMMYFUNCTION("""COMPUTED_VALUE"""),"Strawberry Fields")</f>
        <v>Strawberry Fields</v>
      </c>
      <c r="C288" s="21" t="str">
        <f>IFERROR(__xludf.DUMMYFUNCTION("""COMPUTED_VALUE"""),"Rea Tajiri")</f>
        <v>Rea Tajiri</v>
      </c>
      <c r="D288" s="21" t="str">
        <f>IFERROR(__xludf.DUMMYFUNCTION("""COMPUTED_VALUE"""),"1997")</f>
        <v>1997</v>
      </c>
    </row>
    <row r="289" ht="15.75" customHeight="1">
      <c r="A289" s="9">
        <v>288.0</v>
      </c>
      <c r="B289" s="21" t="str">
        <f>IFERROR(__xludf.DUMMYFUNCTION("""COMPUTED_VALUE"""),"The Tango Lesson")</f>
        <v>The Tango Lesson</v>
      </c>
      <c r="C289" s="21" t="str">
        <f>IFERROR(__xludf.DUMMYFUNCTION("""COMPUTED_VALUE"""),"Sally Potter")</f>
        <v>Sally Potter</v>
      </c>
      <c r="D289" s="21" t="str">
        <f>IFERROR(__xludf.DUMMYFUNCTION("""COMPUTED_VALUE"""),"1997")</f>
        <v>1997</v>
      </c>
    </row>
    <row r="290" ht="15.75" customHeight="1">
      <c r="A290" s="9">
        <v>289.0</v>
      </c>
      <c r="B290" s="21" t="str">
        <f>IFERROR(__xludf.DUMMYFUNCTION("""COMPUTED_VALUE"""),"Washington Square")</f>
        <v>Washington Square</v>
      </c>
      <c r="C290" s="21" t="str">
        <f>IFERROR(__xludf.DUMMYFUNCTION("""COMPUTED_VALUE"""),"Agnieszka Holland")</f>
        <v>Agnieszka Holland</v>
      </c>
      <c r="D290" s="21" t="str">
        <f>IFERROR(__xludf.DUMMYFUNCTION("""COMPUTED_VALUE"""),"1997")</f>
        <v>1997</v>
      </c>
    </row>
    <row r="291" ht="15.75" customHeight="1">
      <c r="A291" s="9">
        <v>290.0</v>
      </c>
      <c r="B291" s="21" t="str">
        <f>IFERROR(__xludf.DUMMYFUNCTION("""COMPUTED_VALUE"""),"Deep Impact")</f>
        <v>Deep Impact</v>
      </c>
      <c r="C291" s="21" t="str">
        <f>IFERROR(__xludf.DUMMYFUNCTION("""COMPUTED_VALUE"""),"Mimi Leder")</f>
        <v>Mimi Leder</v>
      </c>
      <c r="D291" s="21" t="str">
        <f>IFERROR(__xludf.DUMMYFUNCTION("""COMPUTED_VALUE"""),"1998")</f>
        <v>1998</v>
      </c>
    </row>
    <row r="292" ht="15.75" customHeight="1">
      <c r="A292" s="9">
        <v>291.0</v>
      </c>
      <c r="B292" s="21" t="str">
        <f>IFERROR(__xludf.DUMMYFUNCTION("""COMPUTED_VALUE"""),"Free Tibet")</f>
        <v>Free Tibet</v>
      </c>
      <c r="C292" s="21" t="str">
        <f>IFERROR(__xludf.DUMMYFUNCTION("""COMPUTED_VALUE"""),"Sarah Pirozek")</f>
        <v>Sarah Pirozek</v>
      </c>
      <c r="D292" s="21" t="str">
        <f>IFERROR(__xludf.DUMMYFUNCTION("""COMPUTED_VALUE"""),"1998")</f>
        <v>1998</v>
      </c>
    </row>
    <row r="293" ht="15.75" customHeight="1">
      <c r="A293" s="9">
        <v>292.0</v>
      </c>
      <c r="B293" s="21" t="str">
        <f>IFERROR(__xludf.DUMMYFUNCTION("""COMPUTED_VALUE"""),"Half Baked")</f>
        <v>Half Baked</v>
      </c>
      <c r="C293" s="21" t="str">
        <f>IFERROR(__xludf.DUMMYFUNCTION("""COMPUTED_VALUE"""),"Tamra Davis")</f>
        <v>Tamra Davis</v>
      </c>
      <c r="D293" s="21" t="str">
        <f>IFERROR(__xludf.DUMMYFUNCTION("""COMPUTED_VALUE"""),"1998")</f>
        <v>1998</v>
      </c>
    </row>
    <row r="294" ht="15.75" customHeight="1">
      <c r="A294" s="9">
        <v>293.0</v>
      </c>
      <c r="B294" s="21" t="str">
        <f>IFERROR(__xludf.DUMMYFUNCTION("""COMPUTED_VALUE"""),"High Art")</f>
        <v>High Art</v>
      </c>
      <c r="C294" s="21" t="str">
        <f>IFERROR(__xludf.DUMMYFUNCTION("""COMPUTED_VALUE"""),"Lisa Cholodenko")</f>
        <v>Lisa Cholodenko</v>
      </c>
      <c r="D294" s="21" t="str">
        <f>IFERROR(__xludf.DUMMYFUNCTION("""COMPUTED_VALUE"""),"1998")</f>
        <v>1998</v>
      </c>
    </row>
    <row r="295" ht="15.75" customHeight="1">
      <c r="A295" s="9">
        <v>294.0</v>
      </c>
      <c r="B295" s="21" t="str">
        <f>IFERROR(__xludf.DUMMYFUNCTION("""COMPUTED_VALUE"""),"Madeline")</f>
        <v>Madeline</v>
      </c>
      <c r="C295" s="21" t="str">
        <f>IFERROR(__xludf.DUMMYFUNCTION("""COMPUTED_VALUE"""),"Daisy von Scherler Mayer")</f>
        <v>Daisy von Scherler Mayer</v>
      </c>
      <c r="D295" s="21" t="str">
        <f>IFERROR(__xludf.DUMMYFUNCTION("""COMPUTED_VALUE"""),"1998")</f>
        <v>1998</v>
      </c>
    </row>
    <row r="296" ht="15.75" customHeight="1">
      <c r="A296" s="9">
        <v>295.0</v>
      </c>
      <c r="B296" s="21" t="str">
        <f>IFERROR(__xludf.DUMMYFUNCTION("""COMPUTED_VALUE"""),"The Parent Trap")</f>
        <v>The Parent Trap</v>
      </c>
      <c r="C296" s="21" t="str">
        <f>IFERROR(__xludf.DUMMYFUNCTION("""COMPUTED_VALUE"""),"Nancy Meyers")</f>
        <v>Nancy Meyers</v>
      </c>
      <c r="D296" s="21" t="str">
        <f>IFERROR(__xludf.DUMMYFUNCTION("""COMPUTED_VALUE"""),"1998")</f>
        <v>1998</v>
      </c>
    </row>
    <row r="297" ht="15.75" customHeight="1">
      <c r="A297" s="9">
        <v>296.0</v>
      </c>
      <c r="B297" s="21" t="str">
        <f>IFERROR(__xludf.DUMMYFUNCTION("""COMPUTED_VALUE"""),"That Strange Person")</f>
        <v>That Strange Person</v>
      </c>
      <c r="C297" s="21" t="str">
        <f>IFERROR(__xludf.DUMMYFUNCTION("""COMPUTED_VALUE"""),"Eileen O'Meara")</f>
        <v>Eileen O'Meara</v>
      </c>
      <c r="D297" s="21" t="str">
        <f>IFERROR(__xludf.DUMMYFUNCTION("""COMPUTED_VALUE"""),"1998")</f>
        <v>1998</v>
      </c>
    </row>
    <row r="298" ht="15.75" customHeight="1">
      <c r="A298" s="9">
        <v>297.0</v>
      </c>
      <c r="B298" s="21" t="str">
        <f>IFERROR(__xludf.DUMMYFUNCTION("""COMPUTED_VALUE"""),"Woo")</f>
        <v>Woo</v>
      </c>
      <c r="C298" s="21" t="str">
        <f>IFERROR(__xludf.DUMMYFUNCTION("""COMPUTED_VALUE"""),"Daisy von Scherler Mayer")</f>
        <v>Daisy von Scherler Mayer</v>
      </c>
      <c r="D298" s="21" t="str">
        <f>IFERROR(__xludf.DUMMYFUNCTION("""COMPUTED_VALUE"""),"1998")</f>
        <v>1998</v>
      </c>
    </row>
    <row r="299" ht="15.75" customHeight="1">
      <c r="A299" s="9">
        <v>298.0</v>
      </c>
      <c r="B299" s="21" t="str">
        <f>IFERROR(__xludf.DUMMYFUNCTION("""COMPUTED_VALUE"""),"Beau Travail")</f>
        <v>Beau Travail</v>
      </c>
      <c r="C299" s="21" t="str">
        <f>IFERROR(__xludf.DUMMYFUNCTION("""COMPUTED_VALUE"""),"Claire Denis")</f>
        <v>Claire Denis</v>
      </c>
      <c r="D299" s="21" t="str">
        <f>IFERROR(__xludf.DUMMYFUNCTION("""COMPUTED_VALUE"""),"1999")</f>
        <v>1999</v>
      </c>
    </row>
    <row r="300" ht="15.75" customHeight="1">
      <c r="A300" s="9">
        <v>299.0</v>
      </c>
      <c r="B300" s="21" t="str">
        <f>IFERROR(__xludf.DUMMYFUNCTION("""COMPUTED_VALUE"""),"Boys Don't Cry")</f>
        <v>Boys Don't Cry</v>
      </c>
      <c r="C300" s="21" t="str">
        <f>IFERROR(__xludf.DUMMYFUNCTION("""COMPUTED_VALUE"""),"Kimberly Peirce")</f>
        <v>Kimberly Peirce</v>
      </c>
      <c r="D300" s="21" t="str">
        <f>IFERROR(__xludf.DUMMYFUNCTION("""COMPUTED_VALUE"""),"1999")</f>
        <v>1999</v>
      </c>
    </row>
    <row r="301" ht="15.75" customHeight="1">
      <c r="A301" s="9">
        <v>300.0</v>
      </c>
      <c r="B301" s="21" t="str">
        <f>IFERROR(__xludf.DUMMYFUNCTION("""COMPUTED_VALUE"""),"But I'm a Cheerleader")</f>
        <v>But I'm a Cheerleader</v>
      </c>
      <c r="C301" s="21" t="str">
        <f>IFERROR(__xludf.DUMMYFUNCTION("""COMPUTED_VALUE"""),"Jamie Babbit")</f>
        <v>Jamie Babbit</v>
      </c>
      <c r="D301" s="21" t="str">
        <f>IFERROR(__xludf.DUMMYFUNCTION("""COMPUTED_VALUE"""),"1999")</f>
        <v>1999</v>
      </c>
    </row>
    <row r="302" ht="15.75" customHeight="1">
      <c r="A302" s="9">
        <v>301.0</v>
      </c>
      <c r="B302" s="21" t="str">
        <f>IFERROR(__xludf.DUMMYFUNCTION("""COMPUTED_VALUE"""),"The Green Elephant")</f>
        <v>The Green Elephant</v>
      </c>
      <c r="C302" s="21" t="str">
        <f>IFERROR(__xludf.DUMMYFUNCTION("""COMPUTED_VALUE"""),"Svetlana Baskova")</f>
        <v>Svetlana Baskova</v>
      </c>
      <c r="D302" s="21" t="str">
        <f>IFERROR(__xludf.DUMMYFUNCTION("""COMPUTED_VALUE"""),"1999")</f>
        <v>1999</v>
      </c>
    </row>
    <row r="303" ht="15.75" customHeight="1">
      <c r="A303" s="9">
        <v>302.0</v>
      </c>
      <c r="B303" s="21" t="str">
        <f>IFERROR(__xludf.DUMMYFUNCTION("""COMPUTED_VALUE"""),"Holy Smoke!")</f>
        <v>Holy Smoke!</v>
      </c>
      <c r="C303" s="21" t="str">
        <f>IFERROR(__xludf.DUMMYFUNCTION("""COMPUTED_VALUE"""),"Jane Campion")</f>
        <v>Jane Campion</v>
      </c>
      <c r="D303" s="21" t="str">
        <f>IFERROR(__xludf.DUMMYFUNCTION("""COMPUTED_VALUE"""),"1999")</f>
        <v>1999</v>
      </c>
    </row>
    <row r="304" ht="15.75" customHeight="1">
      <c r="A304" s="9">
        <v>303.0</v>
      </c>
      <c r="B304" s="21" t="str">
        <f>IFERROR(__xludf.DUMMYFUNCTION("""COMPUTED_VALUE"""),"Romance")</f>
        <v>Romance</v>
      </c>
      <c r="C304" s="21" t="str">
        <f>IFERROR(__xludf.DUMMYFUNCTION("""COMPUTED_VALUE"""),"Catherine Breillat")</f>
        <v>Catherine Breillat</v>
      </c>
      <c r="D304" s="21" t="str">
        <f>IFERROR(__xludf.DUMMYFUNCTION("""COMPUTED_VALUE"""),"1999")</f>
        <v>1999</v>
      </c>
    </row>
    <row r="305" ht="15.75" customHeight="1">
      <c r="A305" s="9">
        <v>304.0</v>
      </c>
      <c r="B305" s="21" t="str">
        <f>IFERROR(__xludf.DUMMYFUNCTION("""COMPUTED_VALUE"""),"The Third Miracle")</f>
        <v>The Third Miracle</v>
      </c>
      <c r="C305" s="21" t="str">
        <f>IFERROR(__xludf.DUMMYFUNCTION("""COMPUTED_VALUE"""),"Agnieszka Holland")</f>
        <v>Agnieszka Holland</v>
      </c>
      <c r="D305" s="21" t="str">
        <f>IFERROR(__xludf.DUMMYFUNCTION("""COMPUTED_VALUE"""),"1999")</f>
        <v>1999</v>
      </c>
    </row>
    <row r="306" ht="15.75" customHeight="1">
      <c r="A306" s="9">
        <v>305.0</v>
      </c>
      <c r="B306" s="21" t="str">
        <f>IFERROR(__xludf.DUMMYFUNCTION("""COMPUTED_VALUE"""),"Titus")</f>
        <v>Titus</v>
      </c>
      <c r="C306" s="21" t="str">
        <f>IFERROR(__xludf.DUMMYFUNCTION("""COMPUTED_VALUE"""),"Julie Taymor")</f>
        <v>Julie Taymor</v>
      </c>
      <c r="D306" s="21" t="str">
        <f>IFERROR(__xludf.DUMMYFUNCTION("""COMPUTED_VALUE"""),"1999")</f>
        <v>1999</v>
      </c>
    </row>
    <row r="307" ht="15.75" customHeight="1">
      <c r="A307" s="9">
        <v>306.0</v>
      </c>
      <c r="B307" s="21" t="str">
        <f>IFERROR(__xludf.DUMMYFUNCTION("""COMPUTED_VALUE"""),"The Virgin Suicides")</f>
        <v>The Virgin Suicides</v>
      </c>
      <c r="C307" s="21" t="str">
        <f>IFERROR(__xludf.DUMMYFUNCTION("""COMPUTED_VALUE"""),"Sophia Coppola")</f>
        <v>Sophia Coppola</v>
      </c>
      <c r="D307" s="21" t="str">
        <f>IFERROR(__xludf.DUMMYFUNCTION("""COMPUTED_VALUE"""),"1999")</f>
        <v>1999</v>
      </c>
    </row>
    <row r="308" ht="15.75" customHeight="1">
      <c r="A308" s="9">
        <v>307.0</v>
      </c>
      <c r="B308" s="21" t="str">
        <f>IFERROR(__xludf.DUMMYFUNCTION("""COMPUTED_VALUE"""),"American Psycho")</f>
        <v>American Psycho</v>
      </c>
      <c r="C308" s="21" t="str">
        <f>IFERROR(__xludf.DUMMYFUNCTION("""COMPUTED_VALUE"""),"Mary Harron")</f>
        <v>Mary Harron</v>
      </c>
      <c r="D308" s="21" t="str">
        <f>IFERROR(__xludf.DUMMYFUNCTION("""COMPUTED_VALUE"""),"2000")</f>
        <v>2000</v>
      </c>
    </row>
    <row r="309" ht="15.75" customHeight="1">
      <c r="A309" s="9">
        <v>308.0</v>
      </c>
      <c r="B309" s="21" t="str">
        <f>IFERROR(__xludf.DUMMYFUNCTION("""COMPUTED_VALUE"""),"The Captive")</f>
        <v>The Captive</v>
      </c>
      <c r="C309" s="21" t="str">
        <f>IFERROR(__xludf.DUMMYFUNCTION("""COMPUTED_VALUE"""),"Chantal Akerman")</f>
        <v>Chantal Akerman</v>
      </c>
      <c r="D309" s="21" t="str">
        <f>IFERROR(__xludf.DUMMYFUNCTION("""COMPUTED_VALUE"""),"2000")</f>
        <v>2000</v>
      </c>
    </row>
    <row r="310" ht="15.75" customHeight="1">
      <c r="A310" s="9">
        <v>309.0</v>
      </c>
      <c r="B310" s="21" t="str">
        <f>IFERROR(__xludf.DUMMYFUNCTION("""COMPUTED_VALUE"""),"Geography of Fear")</f>
        <v>Geography of Fear</v>
      </c>
      <c r="C310" s="21" t="str">
        <f>IFERROR(__xludf.DUMMYFUNCTION("""COMPUTED_VALUE"""),"Auli Mantila")</f>
        <v>Auli Mantila</v>
      </c>
      <c r="D310" s="21" t="str">
        <f>IFERROR(__xludf.DUMMYFUNCTION("""COMPUTED_VALUE"""),"2000")</f>
        <v>2000</v>
      </c>
    </row>
    <row r="311" ht="15.75" customHeight="1">
      <c r="A311" s="9">
        <v>310.0</v>
      </c>
      <c r="B311" s="21" t="str">
        <f>IFERROR(__xludf.DUMMYFUNCTION("""COMPUTED_VALUE"""),"Girlfight")</f>
        <v>Girlfight</v>
      </c>
      <c r="C311" s="21" t="str">
        <f>IFERROR(__xludf.DUMMYFUNCTION("""COMPUTED_VALUE"""),"Karyn Kusama")</f>
        <v>Karyn Kusama</v>
      </c>
      <c r="D311" s="21" t="str">
        <f>IFERROR(__xludf.DUMMYFUNCTION("""COMPUTED_VALUE"""),"2000")</f>
        <v>2000</v>
      </c>
    </row>
    <row r="312" ht="15.75" customHeight="1">
      <c r="A312" s="9">
        <v>311.0</v>
      </c>
      <c r="B312" s="21" t="str">
        <f>IFERROR(__xludf.DUMMYFUNCTION("""COMPUTED_VALUE"""),"The Gleaners and I")</f>
        <v>The Gleaners and I</v>
      </c>
      <c r="C312" s="21" t="str">
        <f>IFERROR(__xludf.DUMMYFUNCTION("""COMPUTED_VALUE"""),"Agnes Varda")</f>
        <v>Agnes Varda</v>
      </c>
      <c r="D312" s="21" t="str">
        <f>IFERROR(__xludf.DUMMYFUNCTION("""COMPUTED_VALUE"""),"2000")</f>
        <v>2000</v>
      </c>
    </row>
    <row r="313" ht="15.75" customHeight="1">
      <c r="A313" s="9">
        <v>312.0</v>
      </c>
      <c r="B313" s="21" t="str">
        <f>IFERROR(__xludf.DUMMYFUNCTION("""COMPUTED_VALUE"""),"Loser")</f>
        <v>Loser</v>
      </c>
      <c r="C313" s="21" t="str">
        <f>IFERROR(__xludf.DUMMYFUNCTION("""COMPUTED_VALUE"""),"Amy Heckerling")</f>
        <v>Amy Heckerling</v>
      </c>
      <c r="D313" s="21" t="str">
        <f>IFERROR(__xludf.DUMMYFUNCTION("""COMPUTED_VALUE"""),"2000")</f>
        <v>2000</v>
      </c>
    </row>
    <row r="314" ht="15.75" customHeight="1">
      <c r="A314" s="9">
        <v>313.0</v>
      </c>
      <c r="B314" s="21" t="str">
        <f>IFERROR(__xludf.DUMMYFUNCTION("""COMPUTED_VALUE"""),"Love &amp; Basketball")</f>
        <v>Love &amp; Basketball</v>
      </c>
      <c r="C314" s="21" t="str">
        <f>IFERROR(__xludf.DUMMYFUNCTION("""COMPUTED_VALUE"""),"Gina Prince-Bythewood")</f>
        <v>Gina Prince-Bythewood</v>
      </c>
      <c r="D314" s="21" t="str">
        <f>IFERROR(__xludf.DUMMYFUNCTION("""COMPUTED_VALUE"""),"2000")</f>
        <v>2000</v>
      </c>
    </row>
    <row r="315" ht="15.75" customHeight="1">
      <c r="A315" s="9">
        <v>314.0</v>
      </c>
      <c r="B315" s="21" t="str">
        <f>IFERROR(__xludf.DUMMYFUNCTION("""COMPUTED_VALUE"""),"The Man Who Cried")</f>
        <v>The Man Who Cried</v>
      </c>
      <c r="C315" s="21" t="str">
        <f>IFERROR(__xludf.DUMMYFUNCTION("""COMPUTED_VALUE"""),"Sally Potter")</f>
        <v>Sally Potter</v>
      </c>
      <c r="D315" s="21" t="str">
        <f>IFERROR(__xludf.DUMMYFUNCTION("""COMPUTED_VALUE"""),"2000")</f>
        <v>2000</v>
      </c>
    </row>
    <row r="316" ht="15.75" customHeight="1">
      <c r="A316" s="9">
        <v>315.0</v>
      </c>
      <c r="B316" s="21" t="str">
        <f>IFERROR(__xludf.DUMMYFUNCTION("""COMPUTED_VALUE"""),"Pay It Forward")</f>
        <v>Pay It Forward</v>
      </c>
      <c r="C316" s="21" t="str">
        <f>IFERROR(__xludf.DUMMYFUNCTION("""COMPUTED_VALUE"""),"Mimi Leder")</f>
        <v>Mimi Leder</v>
      </c>
      <c r="D316" s="21" t="str">
        <f>IFERROR(__xludf.DUMMYFUNCTION("""COMPUTED_VALUE"""),"2000")</f>
        <v>2000</v>
      </c>
    </row>
    <row r="317" ht="15.75" customHeight="1">
      <c r="A317" s="9">
        <v>316.0</v>
      </c>
      <c r="B317" s="21" t="str">
        <f>IFERROR(__xludf.DUMMYFUNCTION("""COMPUTED_VALUE"""),"Suspicious River")</f>
        <v>Suspicious River</v>
      </c>
      <c r="C317" s="21" t="str">
        <f>IFERROR(__xludf.DUMMYFUNCTION("""COMPUTED_VALUE"""),"Lynne Stopkewich")</f>
        <v>Lynne Stopkewich</v>
      </c>
      <c r="D317" s="21" t="str">
        <f>IFERROR(__xludf.DUMMYFUNCTION("""COMPUTED_VALUE"""),"2000")</f>
        <v>2000</v>
      </c>
    </row>
    <row r="318" ht="15.75" customHeight="1">
      <c r="A318" s="9">
        <v>317.0</v>
      </c>
      <c r="B318" s="21" t="str">
        <f>IFERROR(__xludf.DUMMYFUNCTION("""COMPUTED_VALUE"""),"The Weight of Water")</f>
        <v>The Weight of Water</v>
      </c>
      <c r="C318" s="21" t="str">
        <f>IFERROR(__xludf.DUMMYFUNCTION("""COMPUTED_VALUE"""),"Kathryn Bigelow")</f>
        <v>Kathryn Bigelow</v>
      </c>
      <c r="D318" s="21" t="str">
        <f>IFERROR(__xludf.DUMMYFUNCTION("""COMPUTED_VALUE"""),"2000")</f>
        <v>2000</v>
      </c>
    </row>
    <row r="319" ht="15.75" customHeight="1">
      <c r="A319" s="9">
        <v>318.0</v>
      </c>
      <c r="B319" s="21" t="str">
        <f>IFERROR(__xludf.DUMMYFUNCTION("""COMPUTED_VALUE"""),"What Women Want")</f>
        <v>What Women Want</v>
      </c>
      <c r="C319" s="21" t="str">
        <f>IFERROR(__xludf.DUMMYFUNCTION("""COMPUTED_VALUE"""),"Nancy Meyers")</f>
        <v>Nancy Meyers</v>
      </c>
      <c r="D319" s="21" t="str">
        <f>IFERROR(__xludf.DUMMYFUNCTION("""COMPUTED_VALUE"""),"2000")</f>
        <v>2000</v>
      </c>
    </row>
    <row r="320" ht="15.75" customHeight="1">
      <c r="A320" s="9">
        <v>319.0</v>
      </c>
      <c r="B320" s="21" t="str">
        <f>IFERROR(__xludf.DUMMYFUNCTION("""COMPUTED_VALUE"""),"Brief Crossing")</f>
        <v>Brief Crossing</v>
      </c>
      <c r="C320" s="21" t="str">
        <f>IFERROR(__xludf.DUMMYFUNCTION("""COMPUTED_VALUE"""),"Catherine Breillat")</f>
        <v>Catherine Breillat</v>
      </c>
      <c r="D320" s="21" t="str">
        <f>IFERROR(__xludf.DUMMYFUNCTION("""COMPUTED_VALUE"""),"2001")</f>
        <v>2001</v>
      </c>
    </row>
    <row r="321" ht="15.75" customHeight="1">
      <c r="A321" s="9">
        <v>320.0</v>
      </c>
      <c r="B321" s="21" t="str">
        <f>IFERROR(__xludf.DUMMYFUNCTION("""COMPUTED_VALUE"""),"Charlotte Gray")</f>
        <v>Charlotte Gray</v>
      </c>
      <c r="C321" s="21" t="str">
        <f>IFERROR(__xludf.DUMMYFUNCTION("""COMPUTED_VALUE"""),"Gillian Armstrong")</f>
        <v>Gillian Armstrong</v>
      </c>
      <c r="D321" s="21" t="str">
        <f>IFERROR(__xludf.DUMMYFUNCTION("""COMPUTED_VALUE"""),"2001")</f>
        <v>2001</v>
      </c>
    </row>
    <row r="322" ht="15.75" customHeight="1">
      <c r="A322" s="9">
        <v>321.0</v>
      </c>
      <c r="B322" s="21" t="str">
        <f>IFERROR(__xludf.DUMMYFUNCTION("""COMPUTED_VALUE"""),"La Ciénaga")</f>
        <v>La Ciénaga</v>
      </c>
      <c r="C322" s="21" t="str">
        <f>IFERROR(__xludf.DUMMYFUNCTION("""COMPUTED_VALUE"""),"Lucrecia Martel")</f>
        <v>Lucrecia Martel</v>
      </c>
      <c r="D322" s="21" t="str">
        <f>IFERROR(__xludf.DUMMYFUNCTION("""COMPUTED_VALUE"""),"2001")</f>
        <v>2001</v>
      </c>
    </row>
    <row r="323" ht="15.75" customHeight="1">
      <c r="A323" s="9">
        <v>322.0</v>
      </c>
      <c r="B323" s="21" t="str">
        <f>IFERROR(__xludf.DUMMYFUNCTION("""COMPUTED_VALUE"""),"Fat Girl")</f>
        <v>Fat Girl</v>
      </c>
      <c r="C323" s="21" t="str">
        <f>IFERROR(__xludf.DUMMYFUNCTION("""COMPUTED_VALUE"""),"Catherine Breillat")</f>
        <v>Catherine Breillat</v>
      </c>
      <c r="D323" s="21" t="str">
        <f>IFERROR(__xludf.DUMMYFUNCTION("""COMPUTED_VALUE"""),"2001")</f>
        <v>2001</v>
      </c>
    </row>
    <row r="324" ht="15.75" customHeight="1">
      <c r="A324" s="9">
        <v>323.0</v>
      </c>
      <c r="B324" s="21" t="str">
        <f>IFERROR(__xludf.DUMMYFUNCTION("""COMPUTED_VALUE"""),"Lovely &amp; Amazing")</f>
        <v>Lovely &amp; Amazing</v>
      </c>
      <c r="C324" s="21" t="str">
        <f>IFERROR(__xludf.DUMMYFUNCTION("""COMPUTED_VALUE"""),"Nicole Holofcener")</f>
        <v>Nicole Holofcener</v>
      </c>
      <c r="D324" s="21" t="str">
        <f>IFERROR(__xludf.DUMMYFUNCTION("""COMPUTED_VALUE"""),"2001")</f>
        <v>2001</v>
      </c>
    </row>
    <row r="325" ht="15.75" customHeight="1">
      <c r="A325" s="9">
        <v>324.0</v>
      </c>
      <c r="B325" s="21" t="str">
        <f>IFERROR(__xludf.DUMMYFUNCTION("""COMPUTED_VALUE"""),"Lovely Rita")</f>
        <v>Lovely Rita</v>
      </c>
      <c r="C325" s="21" t="str">
        <f>IFERROR(__xludf.DUMMYFUNCTION("""COMPUTED_VALUE"""),"Jessica Hausner")</f>
        <v>Jessica Hausner</v>
      </c>
      <c r="D325" s="21" t="str">
        <f>IFERROR(__xludf.DUMMYFUNCTION("""COMPUTED_VALUE"""),"2001")</f>
        <v>2001</v>
      </c>
    </row>
    <row r="326" ht="15.75" customHeight="1">
      <c r="A326" s="9">
        <v>325.0</v>
      </c>
      <c r="B326" s="21" t="str">
        <f>IFERROR(__xludf.DUMMYFUNCTION("""COMPUTED_VALUE"""),"Monsoon Wedding")</f>
        <v>Monsoon Wedding</v>
      </c>
      <c r="C326" s="21" t="str">
        <f>IFERROR(__xludf.DUMMYFUNCTION("""COMPUTED_VALUE"""),"Mira Nair")</f>
        <v>Mira Nair</v>
      </c>
      <c r="D326" s="21" t="str">
        <f>IFERROR(__xludf.DUMMYFUNCTION("""COMPUTED_VALUE"""),"2001")</f>
        <v>2001</v>
      </c>
    </row>
    <row r="327" ht="15.75" customHeight="1">
      <c r="A327" s="9">
        <v>326.0</v>
      </c>
      <c r="B327" s="21" t="str">
        <f>IFERROR(__xludf.DUMMYFUNCTION("""COMPUTED_VALUE"""),"Nowhere in Africa")</f>
        <v>Nowhere in Africa</v>
      </c>
      <c r="C327" s="21" t="str">
        <f>IFERROR(__xludf.DUMMYFUNCTION("""COMPUTED_VALUE"""),"Caroline Link")</f>
        <v>Caroline Link</v>
      </c>
      <c r="D327" s="21" t="str">
        <f>IFERROR(__xludf.DUMMYFUNCTION("""COMPUTED_VALUE"""),"2001")</f>
        <v>2001</v>
      </c>
    </row>
    <row r="328" ht="15.75" customHeight="1">
      <c r="A328" s="9">
        <v>327.0</v>
      </c>
      <c r="B328" s="21" t="str">
        <f>IFERROR(__xludf.DUMMYFUNCTION("""COMPUTED_VALUE"""),"Rain")</f>
        <v>Rain</v>
      </c>
      <c r="C328" s="21" t="str">
        <f>IFERROR(__xludf.DUMMYFUNCTION("""COMPUTED_VALUE"""),"Christine Jeffs")</f>
        <v>Christine Jeffs</v>
      </c>
      <c r="D328" s="21" t="str">
        <f>IFERROR(__xludf.DUMMYFUNCTION("""COMPUTED_VALUE"""),"2001")</f>
        <v>2001</v>
      </c>
    </row>
    <row r="329" ht="15.75" customHeight="1">
      <c r="A329" s="9">
        <v>328.0</v>
      </c>
      <c r="B329" s="21" t="str">
        <f>IFERROR(__xludf.DUMMYFUNCTION("""COMPUTED_VALUE"""),"Replay")</f>
        <v>Replay</v>
      </c>
      <c r="C329" s="21" t="str">
        <f>IFERROR(__xludf.DUMMYFUNCTION("""COMPUTED_VALUE"""),"Catherine Corsini")</f>
        <v>Catherine Corsini</v>
      </c>
      <c r="D329" s="21" t="str">
        <f>IFERROR(__xludf.DUMMYFUNCTION("""COMPUTED_VALUE"""),"2001")</f>
        <v>2001</v>
      </c>
    </row>
    <row r="330" ht="15.75" customHeight="1">
      <c r="A330" s="9">
        <v>329.0</v>
      </c>
      <c r="B330" s="21" t="str">
        <f>IFERROR(__xludf.DUMMYFUNCTION("""COMPUTED_VALUE"""),"Shrek")</f>
        <v>Shrek</v>
      </c>
      <c r="C330" s="21" t="str">
        <f>IFERROR(__xludf.DUMMYFUNCTION("""COMPUTED_VALUE"""),"Vicky Jenson")</f>
        <v>Vicky Jenson</v>
      </c>
      <c r="D330" s="21" t="str">
        <f>IFERROR(__xludf.DUMMYFUNCTION("""COMPUTED_VALUE"""),"2001")</f>
        <v>2001</v>
      </c>
    </row>
    <row r="331" ht="15.75" customHeight="1">
      <c r="A331" s="9">
        <v>330.0</v>
      </c>
      <c r="B331" s="21" t="str">
        <f>IFERROR(__xludf.DUMMYFUNCTION("""COMPUTED_VALUE"""),"Trouble Every Day")</f>
        <v>Trouble Every Day</v>
      </c>
      <c r="C331" s="21" t="str">
        <f>IFERROR(__xludf.DUMMYFUNCTION("""COMPUTED_VALUE"""),"Claire Denis")</f>
        <v>Claire Denis</v>
      </c>
      <c r="D331" s="21" t="str">
        <f>IFERROR(__xludf.DUMMYFUNCTION("""COMPUTED_VALUE"""),"2001")</f>
        <v>2001</v>
      </c>
    </row>
    <row r="332" ht="15.75" customHeight="1">
      <c r="A332" s="9">
        <v>331.0</v>
      </c>
      <c r="B332" s="21" t="str">
        <f>IFERROR(__xludf.DUMMYFUNCTION("""COMPUTED_VALUE"""),"Bark!")</f>
        <v>Bark!</v>
      </c>
      <c r="C332" s="21" t="str">
        <f>IFERROR(__xludf.DUMMYFUNCTION("""COMPUTED_VALUE"""),"Katarzyna Adamik")</f>
        <v>Katarzyna Adamik</v>
      </c>
      <c r="D332" s="21" t="str">
        <f>IFERROR(__xludf.DUMMYFUNCTION("""COMPUTED_VALUE"""),"2002")</f>
        <v>2002</v>
      </c>
    </row>
    <row r="333" ht="15.75" customHeight="1">
      <c r="A333" s="9">
        <v>332.0</v>
      </c>
      <c r="B333" s="21" t="str">
        <f>IFERROR(__xludf.DUMMYFUNCTION("""COMPUTED_VALUE"""),"Bend It Like Beckham")</f>
        <v>Bend It Like Beckham</v>
      </c>
      <c r="C333" s="21" t="str">
        <f>IFERROR(__xludf.DUMMYFUNCTION("""COMPUTED_VALUE"""),"Gurinder Chadha")</f>
        <v>Gurinder Chadha</v>
      </c>
      <c r="D333" s="21" t="str">
        <f>IFERROR(__xludf.DUMMYFUNCTION("""COMPUTED_VALUE"""),"2002")</f>
        <v>2002</v>
      </c>
    </row>
    <row r="334" ht="15.75" customHeight="1">
      <c r="A334" s="9">
        <v>333.0</v>
      </c>
      <c r="B334" s="21" t="str">
        <f>IFERROR(__xludf.DUMMYFUNCTION("""COMPUTED_VALUE"""),"Blue Car")</f>
        <v>Blue Car</v>
      </c>
      <c r="C334" s="21" t="str">
        <f>IFERROR(__xludf.DUMMYFUNCTION("""COMPUTED_VALUE"""),"Karen Moncrieff")</f>
        <v>Karen Moncrieff</v>
      </c>
      <c r="D334" s="21" t="str">
        <f>IFERROR(__xludf.DUMMYFUNCTION("""COMPUTED_VALUE"""),"2002")</f>
        <v>2002</v>
      </c>
    </row>
    <row r="335" ht="15.75" customHeight="1">
      <c r="A335" s="9">
        <v>334.0</v>
      </c>
      <c r="B335" s="21" t="str">
        <f>IFERROR(__xludf.DUMMYFUNCTION("""COMPUTED_VALUE"""),"Divine Secrets of the Ya-Ya Sisterhood")</f>
        <v>Divine Secrets of the Ya-Ya Sisterhood</v>
      </c>
      <c r="C335" s="21" t="str">
        <f>IFERROR(__xludf.DUMMYFUNCTION("""COMPUTED_VALUE"""),"Callie Khouri")</f>
        <v>Callie Khouri</v>
      </c>
      <c r="D335" s="21" t="str">
        <f>IFERROR(__xludf.DUMMYFUNCTION("""COMPUTED_VALUE"""),"2002")</f>
        <v>2002</v>
      </c>
    </row>
    <row r="336" ht="15.75" customHeight="1">
      <c r="A336" s="9">
        <v>335.0</v>
      </c>
      <c r="B336" s="21" t="str">
        <f>IFERROR(__xludf.DUMMYFUNCTION("""COMPUTED_VALUE"""),"Five Bottles of Vodka")</f>
        <v>Five Bottles of Vodka</v>
      </c>
      <c r="C336" s="21" t="str">
        <f>IFERROR(__xludf.DUMMYFUNCTION("""COMPUTED_VALUE"""),"Svetlana Baskova")</f>
        <v>Svetlana Baskova</v>
      </c>
      <c r="D336" s="21" t="str">
        <f>IFERROR(__xludf.DUMMYFUNCTION("""COMPUTED_VALUE"""),"2002")</f>
        <v>2002</v>
      </c>
    </row>
    <row r="337" ht="15.75" customHeight="1">
      <c r="A337" s="9">
        <v>336.0</v>
      </c>
      <c r="B337" s="21" t="str">
        <f>IFERROR(__xludf.DUMMYFUNCTION("""COMPUTED_VALUE"""),"Frida")</f>
        <v>Frida</v>
      </c>
      <c r="C337" s="21" t="str">
        <f>IFERROR(__xludf.DUMMYFUNCTION("""COMPUTED_VALUE"""),"Julie Taymor")</f>
        <v>Julie Taymor</v>
      </c>
      <c r="D337" s="21" t="str">
        <f>IFERROR(__xludf.DUMMYFUNCTION("""COMPUTED_VALUE"""),"2002")</f>
        <v>2002</v>
      </c>
    </row>
    <row r="338" ht="15.75" customHeight="1">
      <c r="A338" s="9">
        <v>337.0</v>
      </c>
      <c r="B338" s="21" t="str">
        <f>IFERROR(__xludf.DUMMYFUNCTION("""COMPUTED_VALUE"""),"The Guru")</f>
        <v>The Guru</v>
      </c>
      <c r="C338" s="21" t="str">
        <f>IFERROR(__xludf.DUMMYFUNCTION("""COMPUTED_VALUE"""),"Daisy von Scherler Mayer")</f>
        <v>Daisy von Scherler Mayer</v>
      </c>
      <c r="D338" s="21" t="str">
        <f>IFERROR(__xludf.DUMMYFUNCTION("""COMPUTED_VALUE"""),"2002")</f>
        <v>2002</v>
      </c>
    </row>
    <row r="339" ht="15.75" customHeight="1">
      <c r="A339" s="9">
        <v>338.0</v>
      </c>
      <c r="B339" s="21" t="str">
        <f>IFERROR(__xludf.DUMMYFUNCTION("""COMPUTED_VALUE"""),"Julie Walking Home")</f>
        <v>Julie Walking Home</v>
      </c>
      <c r="C339" s="21" t="str">
        <f>IFERROR(__xludf.DUMMYFUNCTION("""COMPUTED_VALUE"""),"Agnieszka Holland")</f>
        <v>Agnieszka Holland</v>
      </c>
      <c r="D339" s="21" t="str">
        <f>IFERROR(__xludf.DUMMYFUNCTION("""COMPUTED_VALUE"""),"2002")</f>
        <v>2002</v>
      </c>
    </row>
    <row r="340" ht="15.75" customHeight="1">
      <c r="A340" s="9">
        <v>339.0</v>
      </c>
      <c r="B340" s="21" t="str">
        <f>IFERROR(__xludf.DUMMYFUNCTION("""COMPUTED_VALUE"""),"Laurel Canyon")</f>
        <v>Laurel Canyon</v>
      </c>
      <c r="C340" s="21" t="str">
        <f>IFERROR(__xludf.DUMMYFUNCTION("""COMPUTED_VALUE"""),"Lisa Cholodenko")</f>
        <v>Lisa Cholodenko</v>
      </c>
      <c r="D340" s="21" t="str">
        <f>IFERROR(__xludf.DUMMYFUNCTION("""COMPUTED_VALUE"""),"2002")</f>
        <v>2002</v>
      </c>
    </row>
    <row r="341" ht="15.75" customHeight="1">
      <c r="A341" s="9">
        <v>340.0</v>
      </c>
      <c r="B341" s="21" t="str">
        <f>IFERROR(__xludf.DUMMYFUNCTION("""COMPUTED_VALUE"""),"Ripley's Game")</f>
        <v>Ripley's Game</v>
      </c>
      <c r="C341" s="21" t="str">
        <f>IFERROR(__xludf.DUMMYFUNCTION("""COMPUTED_VALUE"""),"Liliana Cavani")</f>
        <v>Liliana Cavani</v>
      </c>
      <c r="D341" s="21" t="str">
        <f>IFERROR(__xludf.DUMMYFUNCTION("""COMPUTED_VALUE"""),"2002")</f>
        <v>2002</v>
      </c>
    </row>
    <row r="342" ht="15.75" customHeight="1">
      <c r="A342" s="9">
        <v>341.0</v>
      </c>
      <c r="B342" s="21" t="str">
        <f>IFERROR(__xludf.DUMMYFUNCTION("""COMPUTED_VALUE"""),"Sex Is Comedy")</f>
        <v>Sex Is Comedy</v>
      </c>
      <c r="C342" s="21" t="str">
        <f>IFERROR(__xludf.DUMMYFUNCTION("""COMPUTED_VALUE"""),"Catherine Breillat")</f>
        <v>Catherine Breillat</v>
      </c>
      <c r="D342" s="21" t="str">
        <f>IFERROR(__xludf.DUMMYFUNCTION("""COMPUTED_VALUE"""),"2002")</f>
        <v>2002</v>
      </c>
    </row>
    <row r="343" ht="15.75" customHeight="1">
      <c r="A343" s="9">
        <v>342.0</v>
      </c>
      <c r="B343" s="21" t="str">
        <f>IFERROR(__xludf.DUMMYFUNCTION("""COMPUTED_VALUE"""),"Vendredi soir")</f>
        <v>Vendredi soir</v>
      </c>
      <c r="C343" s="21" t="str">
        <f>IFERROR(__xludf.DUMMYFUNCTION("""COMPUTED_VALUE"""),"Claire Denis")</f>
        <v>Claire Denis</v>
      </c>
      <c r="D343" s="21" t="str">
        <f>IFERROR(__xludf.DUMMYFUNCTION("""COMPUTED_VALUE"""),"2002")</f>
        <v>2002</v>
      </c>
    </row>
    <row r="344" ht="15.75" customHeight="1">
      <c r="A344" s="9">
        <v>343.0</v>
      </c>
      <c r="B344" s="21" t="str">
        <f>IFERROR(__xludf.DUMMYFUNCTION("""COMPUTED_VALUE"""),"Whale Rider")</f>
        <v>Whale Rider</v>
      </c>
      <c r="C344" s="21" t="str">
        <f>IFERROR(__xludf.DUMMYFUNCTION("""COMPUTED_VALUE"""),"Niki Caro")</f>
        <v>Niki Caro</v>
      </c>
      <c r="D344" s="21" t="str">
        <f>IFERROR(__xludf.DUMMYFUNCTION("""COMPUTED_VALUE"""),"2002")</f>
        <v>2002</v>
      </c>
    </row>
    <row r="345" ht="15.75" customHeight="1">
      <c r="A345" s="9">
        <v>344.0</v>
      </c>
      <c r="B345" s="21" t="str">
        <f>IFERROR(__xludf.DUMMYFUNCTION("""COMPUTED_VALUE"""),"At Five in the Afternoon")</f>
        <v>At Five in the Afternoon</v>
      </c>
      <c r="C345" s="21" t="str">
        <f>IFERROR(__xludf.DUMMYFUNCTION("""COMPUTED_VALUE"""),"Samira Makhmalbaf")</f>
        <v>Samira Makhmalbaf</v>
      </c>
      <c r="D345" s="21" t="str">
        <f>IFERROR(__xludf.DUMMYFUNCTION("""COMPUTED_VALUE"""),"2003")</f>
        <v>2003</v>
      </c>
    </row>
    <row r="346" ht="15.75" customHeight="1">
      <c r="A346" s="9">
        <v>345.0</v>
      </c>
      <c r="B346" s="21" t="str">
        <f>IFERROR(__xludf.DUMMYFUNCTION("""COMPUTED_VALUE"""),"The Forest for the Trees")</f>
        <v>The Forest for the Trees</v>
      </c>
      <c r="C346" s="21" t="str">
        <f>IFERROR(__xludf.DUMMYFUNCTION("""COMPUTED_VALUE"""),"Maren Ade")</f>
        <v>Maren Ade</v>
      </c>
      <c r="D346" s="21" t="str">
        <f>IFERROR(__xludf.DUMMYFUNCTION("""COMPUTED_VALUE"""),"2003")</f>
        <v>2003</v>
      </c>
    </row>
    <row r="347" ht="15.75" customHeight="1">
      <c r="A347" s="9">
        <v>346.0</v>
      </c>
      <c r="B347" s="21" t="str">
        <f>IFERROR(__xludf.DUMMYFUNCTION("""COMPUTED_VALUE"""),"The Head")</f>
        <v>The Head</v>
      </c>
      <c r="C347" s="21" t="str">
        <f>IFERROR(__xludf.DUMMYFUNCTION("""COMPUTED_VALUE"""),"Svetlana Baskova")</f>
        <v>Svetlana Baskova</v>
      </c>
      <c r="D347" s="21" t="str">
        <f>IFERROR(__xludf.DUMMYFUNCTION("""COMPUTED_VALUE"""),"2003")</f>
        <v>2003</v>
      </c>
    </row>
    <row r="348" ht="15.75" customHeight="1">
      <c r="A348" s="9">
        <v>347.0</v>
      </c>
      <c r="B348" s="21" t="str">
        <f>IFERROR(__xludf.DUMMYFUNCTION("""COMPUTED_VALUE"""),"In the Cut")</f>
        <v>In the Cut</v>
      </c>
      <c r="C348" s="21" t="str">
        <f>IFERROR(__xludf.DUMMYFUNCTION("""COMPUTED_VALUE"""),"Jane Campion")</f>
        <v>Jane Campion</v>
      </c>
      <c r="D348" s="21" t="str">
        <f>IFERROR(__xludf.DUMMYFUNCTION("""COMPUTED_VALUE"""),"2003")</f>
        <v>2003</v>
      </c>
    </row>
    <row r="349" ht="15.75" customHeight="1">
      <c r="A349" s="9">
        <v>348.0</v>
      </c>
      <c r="B349" s="21" t="str">
        <f>IFERROR(__xludf.DUMMYFUNCTION("""COMPUTED_VALUE"""),"Lost in Translation")</f>
        <v>Lost in Translation</v>
      </c>
      <c r="C349" s="21" t="str">
        <f>IFERROR(__xludf.DUMMYFUNCTION("""COMPUTED_VALUE"""),"Sofia Coppola")</f>
        <v>Sofia Coppola</v>
      </c>
      <c r="D349" s="21" t="str">
        <f>IFERROR(__xludf.DUMMYFUNCTION("""COMPUTED_VALUE"""),"2003")</f>
        <v>2003</v>
      </c>
    </row>
    <row r="350" ht="15.75" customHeight="1">
      <c r="A350" s="9">
        <v>349.0</v>
      </c>
      <c r="B350" s="21" t="str">
        <f>IFERROR(__xludf.DUMMYFUNCTION("""COMPUTED_VALUE"""),"Monster")</f>
        <v>Monster</v>
      </c>
      <c r="C350" s="21" t="str">
        <f>IFERROR(__xludf.DUMMYFUNCTION("""COMPUTED_VALUE"""),"Patty Jenkins")</f>
        <v>Patty Jenkins</v>
      </c>
      <c r="D350" s="21" t="str">
        <f>IFERROR(__xludf.DUMMYFUNCTION("""COMPUTED_VALUE"""),"2003")</f>
        <v>2003</v>
      </c>
      <c r="E350" s="21" t="s">
        <v>1752</v>
      </c>
      <c r="F350" s="21" t="s">
        <v>1752</v>
      </c>
    </row>
    <row r="351" ht="15.75" customHeight="1">
      <c r="A351" s="9">
        <v>350.0</v>
      </c>
      <c r="B351" s="21" t="str">
        <f>IFERROR(__xludf.DUMMYFUNCTION("""COMPUTED_VALUE"""),"Nousukausi")</f>
        <v>Nousukausi</v>
      </c>
      <c r="C351" s="21" t="str">
        <f>IFERROR(__xludf.DUMMYFUNCTION("""COMPUTED_VALUE"""),"Johanna Vuoksenmaa")</f>
        <v>Johanna Vuoksenmaa</v>
      </c>
      <c r="D351" s="21" t="str">
        <f>IFERROR(__xludf.DUMMYFUNCTION("""COMPUTED_VALUE"""),"2003")</f>
        <v>2003</v>
      </c>
    </row>
    <row r="352" ht="15.75" customHeight="1">
      <c r="A352" s="9">
        <v>351.0</v>
      </c>
      <c r="B352" s="21" t="str">
        <f>IFERROR(__xludf.DUMMYFUNCTION("""COMPUTED_VALUE"""),"Something's Gotta Give")</f>
        <v>Something's Gotta Give</v>
      </c>
      <c r="C352" s="21" t="str">
        <f>IFERROR(__xludf.DUMMYFUNCTION("""COMPUTED_VALUE"""),"Nancy Meyers")</f>
        <v>Nancy Meyers</v>
      </c>
      <c r="D352" s="21" t="str">
        <f>IFERROR(__xludf.DUMMYFUNCTION("""COMPUTED_VALUE"""),"2003")</f>
        <v>2003</v>
      </c>
    </row>
    <row r="353" ht="15.75" customHeight="1">
      <c r="A353" s="9">
        <v>352.0</v>
      </c>
      <c r="B353" s="21" t="str">
        <f>IFERROR(__xludf.DUMMYFUNCTION("""COMPUTED_VALUE"""),"Sylvia")</f>
        <v>Sylvia</v>
      </c>
      <c r="C353" s="21" t="str">
        <f>IFERROR(__xludf.DUMMYFUNCTION("""COMPUTED_VALUE"""),"Christine Jeffs")</f>
        <v>Christine Jeffs</v>
      </c>
      <c r="D353" s="21" t="str">
        <f>IFERROR(__xludf.DUMMYFUNCTION("""COMPUTED_VALUE"""),"2003")</f>
        <v>2003</v>
      </c>
    </row>
    <row r="354" ht="15.75" customHeight="1">
      <c r="A354" s="9">
        <v>353.0</v>
      </c>
      <c r="B354" s="21" t="str">
        <f>IFERROR(__xludf.DUMMYFUNCTION("""COMPUTED_VALUE"""),"Take My Eyes")</f>
        <v>Take My Eyes</v>
      </c>
      <c r="C354" s="21" t="str">
        <f>IFERROR(__xludf.DUMMYFUNCTION("""COMPUTED_VALUE"""),"Icíar Bollaín")</f>
        <v>Icíar Bollaín</v>
      </c>
      <c r="D354" s="21" t="str">
        <f>IFERROR(__xludf.DUMMYFUNCTION("""COMPUTED_VALUE"""),"2003")</f>
        <v>2003</v>
      </c>
    </row>
    <row r="355" ht="15.75" customHeight="1">
      <c r="A355" s="9">
        <v>354.0</v>
      </c>
      <c r="B355" s="21" t="str">
        <f>IFERROR(__xludf.DUMMYFUNCTION("""COMPUTED_VALUE"""),"Thirteen")</f>
        <v>Thirteen</v>
      </c>
      <c r="C355" s="21" t="str">
        <f>IFERROR(__xludf.DUMMYFUNCTION("""COMPUTED_VALUE"""),"Catherine Hardwicke")</f>
        <v>Catherine Hardwicke</v>
      </c>
      <c r="D355" s="21" t="str">
        <f>IFERROR(__xludf.DUMMYFUNCTION("""COMPUTED_VALUE"""),"2003")</f>
        <v>2003</v>
      </c>
    </row>
    <row r="356" ht="15.75" customHeight="1">
      <c r="A356" s="9">
        <v>355.0</v>
      </c>
      <c r="B356" s="21" t="str">
        <f>IFERROR(__xludf.DUMMYFUNCTION("""COMPUTED_VALUE"""),"The Very Merry Widows")</f>
        <v>The Very Merry Widows</v>
      </c>
      <c r="C356" s="21" t="str">
        <f>IFERROR(__xludf.DUMMYFUNCTION("""COMPUTED_VALUE"""),"Catherine Corsini")</f>
        <v>Catherine Corsini</v>
      </c>
      <c r="D356" s="21" t="str">
        <f>IFERROR(__xludf.DUMMYFUNCTION("""COMPUTED_VALUE"""),"2003")</f>
        <v>2003</v>
      </c>
    </row>
    <row r="357" ht="15.75" customHeight="1">
      <c r="A357" s="9">
        <v>356.0</v>
      </c>
      <c r="B357" s="21" t="str">
        <f>IFERROR(__xludf.DUMMYFUNCTION("""COMPUTED_VALUE"""),"Virgin")</f>
        <v>Virgin</v>
      </c>
      <c r="C357" s="21" t="str">
        <f>IFERROR(__xludf.DUMMYFUNCTION("""COMPUTED_VALUE"""),"Deborah Kampmeier")</f>
        <v>Deborah Kampmeier</v>
      </c>
      <c r="D357" s="21" t="str">
        <f>IFERROR(__xludf.DUMMYFUNCTION("""COMPUTED_VALUE"""),"2003")</f>
        <v>2003</v>
      </c>
    </row>
    <row r="358" ht="15.75" customHeight="1">
      <c r="A358" s="9">
        <v>357.0</v>
      </c>
      <c r="B358" s="21" t="str">
        <f>IFERROR(__xludf.DUMMYFUNCTION("""COMPUTED_VALUE"""),"Anatomy of Hell")</f>
        <v>Anatomy of Hell</v>
      </c>
      <c r="C358" s="21" t="str">
        <f>IFERROR(__xludf.DUMMYFUNCTION("""COMPUTED_VALUE"""),"Catherine Breillat")</f>
        <v>Catherine Breillat</v>
      </c>
      <c r="D358" s="21" t="str">
        <f>IFERROR(__xludf.DUMMYFUNCTION("""COMPUTED_VALUE"""),"2004")</f>
        <v>2004</v>
      </c>
    </row>
    <row r="359" ht="15.75" customHeight="1">
      <c r="A359" s="9">
        <v>358.0</v>
      </c>
      <c r="B359" s="21" t="str">
        <f>IFERROR(__xludf.DUMMYFUNCTION("""COMPUTED_VALUE"""),"Bride and Prejudice")</f>
        <v>Bride and Prejudice</v>
      </c>
      <c r="C359" s="21" t="str">
        <f>IFERROR(__xludf.DUMMYFUNCTION("""COMPUTED_VALUE"""),"Gurinder Chadha")</f>
        <v>Gurinder Chadha</v>
      </c>
      <c r="D359" s="21" t="str">
        <f>IFERROR(__xludf.DUMMYFUNCTION("""COMPUTED_VALUE"""),"2004")</f>
        <v>2004</v>
      </c>
    </row>
    <row r="360" ht="15.75" customHeight="1">
      <c r="A360" s="9">
        <v>359.0</v>
      </c>
      <c r="B360" s="21" t="str">
        <f>IFERROR(__xludf.DUMMYFUNCTION("""COMPUTED_VALUE"""),"Cavedweller")</f>
        <v>Cavedweller</v>
      </c>
      <c r="C360" s="21" t="str">
        <f>IFERROR(__xludf.DUMMYFUNCTION("""COMPUTED_VALUE"""),"Lisa Cholodenko")</f>
        <v>Lisa Cholodenko</v>
      </c>
      <c r="D360" s="21" t="str">
        <f>IFERROR(__xludf.DUMMYFUNCTION("""COMPUTED_VALUE"""),"2004")</f>
        <v>2004</v>
      </c>
    </row>
    <row r="361" ht="15.75" customHeight="1">
      <c r="A361" s="9">
        <v>360.0</v>
      </c>
      <c r="B361" s="21" t="str">
        <f>IFERROR(__xludf.DUMMYFUNCTION("""COMPUTED_VALUE"""),"Dear Frankie")</f>
        <v>Dear Frankie</v>
      </c>
      <c r="C361" s="21" t="str">
        <f>IFERROR(__xludf.DUMMYFUNCTION("""COMPUTED_VALUE"""),"Shona Auerbach")</f>
        <v>Shona Auerbach</v>
      </c>
      <c r="D361" s="21" t="str">
        <f>IFERROR(__xludf.DUMMYFUNCTION("""COMPUTED_VALUE"""),"2004")</f>
        <v>2004</v>
      </c>
    </row>
    <row r="362" ht="15.75" customHeight="1">
      <c r="A362" s="9">
        <v>361.0</v>
      </c>
      <c r="B362" s="21" t="str">
        <f>IFERROR(__xludf.DUMMYFUNCTION("""COMPUTED_VALUE"""),"D.E.B.S.")</f>
        <v>D.E.B.S.</v>
      </c>
      <c r="C362" s="21" t="str">
        <f>IFERROR(__xludf.DUMMYFUNCTION("""COMPUTED_VALUE"""),"Angela Robinson")</f>
        <v>Angela Robinson</v>
      </c>
      <c r="D362" s="21" t="str">
        <f>IFERROR(__xludf.DUMMYFUNCTION("""COMPUTED_VALUE"""),"2004")</f>
        <v>2004</v>
      </c>
    </row>
    <row r="363" ht="15.75" customHeight="1">
      <c r="A363" s="9">
        <v>362.0</v>
      </c>
      <c r="B363" s="21" t="str">
        <f>IFERROR(__xludf.DUMMYFUNCTION("""COMPUTED_VALUE"""),"Down to the Bone")</f>
        <v>Down to the Bone</v>
      </c>
      <c r="C363" s="21" t="str">
        <f>IFERROR(__xludf.DUMMYFUNCTION("""COMPUTED_VALUE"""),"Debra Granik")</f>
        <v>Debra Granik</v>
      </c>
      <c r="D363" s="21" t="str">
        <f>IFERROR(__xludf.DUMMYFUNCTION("""COMPUTED_VALUE"""),"2004")</f>
        <v>2004</v>
      </c>
    </row>
    <row r="364" ht="15.75" customHeight="1">
      <c r="A364" s="9">
        <v>363.0</v>
      </c>
      <c r="B364" s="21" t="str">
        <f>IFERROR(__xludf.DUMMYFUNCTION("""COMPUTED_VALUE"""),"Goddess: How I fell in Love")</f>
        <v>Goddess: How I fell in Love</v>
      </c>
      <c r="C364" s="21" t="str">
        <f>IFERROR(__xludf.DUMMYFUNCTION("""COMPUTED_VALUE"""),"Renata Litvinova")</f>
        <v>Renata Litvinova</v>
      </c>
      <c r="D364" s="21" t="str">
        <f>IFERROR(__xludf.DUMMYFUNCTION("""COMPUTED_VALUE"""),"2004")</f>
        <v>2004</v>
      </c>
    </row>
    <row r="365" ht="15.75" customHeight="1">
      <c r="A365" s="9">
        <v>364.0</v>
      </c>
      <c r="B365" s="21" t="str">
        <f>IFERROR(__xludf.DUMMYFUNCTION("""COMPUTED_VALUE"""),"The Holy Girl")</f>
        <v>The Holy Girl</v>
      </c>
      <c r="C365" s="21" t="str">
        <f>IFERROR(__xludf.DUMMYFUNCTION("""COMPUTED_VALUE"""),"Lucrecia Martel")</f>
        <v>Lucrecia Martel</v>
      </c>
      <c r="D365" s="21" t="str">
        <f>IFERROR(__xludf.DUMMYFUNCTION("""COMPUTED_VALUE"""),"2004")</f>
        <v>2004</v>
      </c>
    </row>
    <row r="366" ht="15.75" customHeight="1">
      <c r="A366" s="9">
        <v>365.0</v>
      </c>
      <c r="B366" s="21" t="str">
        <f>IFERROR(__xludf.DUMMYFUNCTION("""COMPUTED_VALUE"""),"Hotel")</f>
        <v>Hotel</v>
      </c>
      <c r="C366" s="21" t="str">
        <f>IFERROR(__xludf.DUMMYFUNCTION("""COMPUTED_VALUE"""),"Jessica Hausner")</f>
        <v>Jessica Hausner</v>
      </c>
      <c r="D366" s="21" t="str">
        <f>IFERROR(__xludf.DUMMYFUNCTION("""COMPUTED_VALUE"""),"2004")</f>
        <v>2004</v>
      </c>
    </row>
    <row r="367" ht="15.75" customHeight="1">
      <c r="A367" s="9">
        <v>366.0</v>
      </c>
      <c r="B367" s="21" t="str">
        <f>IFERROR(__xludf.DUMMYFUNCTION("""COMPUTED_VALUE"""),"The Intruder")</f>
        <v>The Intruder</v>
      </c>
      <c r="C367" s="21" t="str">
        <f>IFERROR(__xludf.DUMMYFUNCTION("""COMPUTED_VALUE"""),"Claire Denis")</f>
        <v>Claire Denis</v>
      </c>
      <c r="D367" s="21" t="str">
        <f>IFERROR(__xludf.DUMMYFUNCTION("""COMPUTED_VALUE"""),"2004")</f>
        <v>2004</v>
      </c>
    </row>
    <row r="368" ht="15.75" customHeight="1">
      <c r="A368" s="9">
        <v>367.0</v>
      </c>
      <c r="B368" s="21" t="str">
        <f>IFERROR(__xludf.DUMMYFUNCTION("""COMPUTED_VALUE"""),"Mars")</f>
        <v>Mars</v>
      </c>
      <c r="C368" s="21" t="str">
        <f>IFERROR(__xludf.DUMMYFUNCTION("""COMPUTED_VALUE"""),"Anna Melikyan")</f>
        <v>Anna Melikyan</v>
      </c>
      <c r="D368" s="21" t="str">
        <f>IFERROR(__xludf.DUMMYFUNCTION("""COMPUTED_VALUE"""),"2004")</f>
        <v>2004</v>
      </c>
    </row>
    <row r="369" ht="15.75" customHeight="1">
      <c r="A369" s="9">
        <v>368.0</v>
      </c>
      <c r="B369" s="21" t="str">
        <f>IFERROR(__xludf.DUMMYFUNCTION("""COMPUTED_VALUE"""),"The Prince &amp; Me")</f>
        <v>The Prince &amp; Me</v>
      </c>
      <c r="C369" s="21" t="str">
        <f>IFERROR(__xludf.DUMMYFUNCTION("""COMPUTED_VALUE"""),"Martha Coolidge")</f>
        <v>Martha Coolidge</v>
      </c>
      <c r="D369" s="21" t="str">
        <f>IFERROR(__xludf.DUMMYFUNCTION("""COMPUTED_VALUE"""),"2004")</f>
        <v>2004</v>
      </c>
    </row>
    <row r="370" ht="15.75" customHeight="1">
      <c r="A370" s="9">
        <v>369.0</v>
      </c>
      <c r="B370" s="21" t="str">
        <f>IFERROR(__xludf.DUMMYFUNCTION("""COMPUTED_VALUE"""),"Somersault")</f>
        <v>Somersault</v>
      </c>
      <c r="C370" s="21" t="str">
        <f>IFERROR(__xludf.DUMMYFUNCTION("""COMPUTED_VALUE"""),"Cate Shortland")</f>
        <v>Cate Shortland</v>
      </c>
      <c r="D370" s="21" t="str">
        <f>IFERROR(__xludf.DUMMYFUNCTION("""COMPUTED_VALUE"""),"2004")</f>
        <v>2004</v>
      </c>
    </row>
    <row r="371" ht="15.75" customHeight="1">
      <c r="A371" s="9">
        <v>370.0</v>
      </c>
      <c r="B371" s="21" t="str">
        <f>IFERROR(__xludf.DUMMYFUNCTION("""COMPUTED_VALUE"""),"Speak")</f>
        <v>Speak</v>
      </c>
      <c r="C371" s="21" t="str">
        <f>IFERROR(__xludf.DUMMYFUNCTION("""COMPUTED_VALUE"""),"Jessica Sharzer")</f>
        <v>Jessica Sharzer</v>
      </c>
      <c r="D371" s="21" t="str">
        <f>IFERROR(__xludf.DUMMYFUNCTION("""COMPUTED_VALUE"""),"2004")</f>
        <v>2004</v>
      </c>
    </row>
    <row r="372" ht="15.75" customHeight="1">
      <c r="A372" s="9">
        <v>371.0</v>
      </c>
      <c r="B372" s="21" t="str">
        <f>IFERROR(__xludf.DUMMYFUNCTION("""COMPUTED_VALUE"""),"Tomorrow We Move (Demain on déménage)")</f>
        <v>Tomorrow We Move (Demain on déménage)</v>
      </c>
      <c r="C372" s="21" t="str">
        <f>IFERROR(__xludf.DUMMYFUNCTION("""COMPUTED_VALUE"""),"Chantal Akerman")</f>
        <v>Chantal Akerman</v>
      </c>
      <c r="D372" s="21" t="str">
        <f>IFERROR(__xludf.DUMMYFUNCTION("""COMPUTED_VALUE"""),"2004")</f>
        <v>2004</v>
      </c>
    </row>
    <row r="373" ht="15.75" customHeight="1">
      <c r="A373" s="9">
        <v>372.0</v>
      </c>
      <c r="B373" s="21" t="str">
        <f>IFERROR(__xludf.DUMMYFUNCTION("""COMPUTED_VALUE"""),"Vanity Fair")</f>
        <v>Vanity Fair</v>
      </c>
      <c r="C373" s="21" t="str">
        <f>IFERROR(__xludf.DUMMYFUNCTION("""COMPUTED_VALUE"""),"Mira Nair")</f>
        <v>Mira Nair</v>
      </c>
      <c r="D373" s="21" t="str">
        <f>IFERROR(__xludf.DUMMYFUNCTION("""COMPUTED_VALUE"""),"2004")</f>
        <v>2004</v>
      </c>
    </row>
    <row r="374" ht="15.75" customHeight="1">
      <c r="A374" s="9">
        <v>373.0</v>
      </c>
      <c r="B374" s="21" t="str">
        <f>IFERROR(__xludf.DUMMYFUNCTION("""COMPUTED_VALUE"""),"The Woodsman")</f>
        <v>The Woodsman</v>
      </c>
      <c r="C374" s="21" t="str">
        <f>IFERROR(__xludf.DUMMYFUNCTION("""COMPUTED_VALUE"""),"Nicole Kassell")</f>
        <v>Nicole Kassell</v>
      </c>
      <c r="D374" s="21" t="str">
        <f>IFERROR(__xludf.DUMMYFUNCTION("""COMPUTED_VALUE"""),"2004")</f>
        <v>2004</v>
      </c>
    </row>
    <row r="375" ht="15.75" customHeight="1">
      <c r="A375" s="9">
        <v>374.0</v>
      </c>
      <c r="B375" s="21" t="str">
        <f>IFERROR(__xludf.DUMMYFUNCTION("""COMPUTED_VALUE"""),"Yes")</f>
        <v>Yes</v>
      </c>
      <c r="C375" s="21" t="str">
        <f>IFERROR(__xludf.DUMMYFUNCTION("""COMPUTED_VALUE"""),"Sally Potter")</f>
        <v>Sally Potter</v>
      </c>
      <c r="D375" s="21" t="str">
        <f>IFERROR(__xludf.DUMMYFUNCTION("""COMPUTED_VALUE"""),"2004")</f>
        <v>2004</v>
      </c>
    </row>
    <row r="376" ht="15.75" customHeight="1">
      <c r="A376" s="9">
        <v>375.0</v>
      </c>
      <c r="B376" s="21" t="str">
        <f>IFERROR(__xludf.DUMMYFUNCTION("""COMPUTED_VALUE"""),"Æon Flux")</f>
        <v>Æon Flux</v>
      </c>
      <c r="C376" s="21" t="str">
        <f>IFERROR(__xludf.DUMMYFUNCTION("""COMPUTED_VALUE"""),"Karyn Kusama")</f>
        <v>Karyn Kusama</v>
      </c>
      <c r="D376" s="21" t="str">
        <f>IFERROR(__xludf.DUMMYFUNCTION("""COMPUTED_VALUE"""),"2005")</f>
        <v>2005</v>
      </c>
    </row>
    <row r="377" ht="15.75" customHeight="1">
      <c r="A377" s="9">
        <v>376.0</v>
      </c>
      <c r="B377" s="21" t="str">
        <f>IFERROR(__xludf.DUMMYFUNCTION("""COMPUTED_VALUE"""),"The Ballad of Jack and Rose")</f>
        <v>The Ballad of Jack and Rose</v>
      </c>
      <c r="C377" s="21" t="str">
        <f>IFERROR(__xludf.DUMMYFUNCTION("""COMPUTED_VALUE"""),"Rebecca Miller")</f>
        <v>Rebecca Miller</v>
      </c>
      <c r="D377" s="21" t="str">
        <f>IFERROR(__xludf.DUMMYFUNCTION("""COMPUTED_VALUE"""),"2005")</f>
        <v>2005</v>
      </c>
    </row>
    <row r="378" ht="15.75" customHeight="1">
      <c r="A378" s="9">
        <v>377.0</v>
      </c>
      <c r="B378" s="21" t="str">
        <f>IFERROR(__xludf.DUMMYFUNCTION("""COMPUTED_VALUE"""),"Born into Brothels")</f>
        <v>Born into Brothels</v>
      </c>
      <c r="C378" s="21" t="str">
        <f>IFERROR(__xludf.DUMMYFUNCTION("""COMPUTED_VALUE"""),"Zana Briski, co-directed with Ross Kauffman")</f>
        <v>Zana Briski, co-directed with Ross Kauffman</v>
      </c>
      <c r="D378" s="21" t="str">
        <f>IFERROR(__xludf.DUMMYFUNCTION("""COMPUTED_VALUE"""),"2005")</f>
        <v>2005</v>
      </c>
    </row>
    <row r="379" ht="15.75" customHeight="1">
      <c r="A379" s="9">
        <v>378.0</v>
      </c>
      <c r="B379" s="21" t="str">
        <f>IFERROR(__xludf.DUMMYFUNCTION("""COMPUTED_VALUE"""),"Close to Home")</f>
        <v>Close to Home</v>
      </c>
      <c r="C379" s="21" t="str">
        <f>IFERROR(__xludf.DUMMYFUNCTION("""COMPUTED_VALUE"""),"Dalia Hager, Vidi Bilu")</f>
        <v>Dalia Hager, Vidi Bilu</v>
      </c>
      <c r="D379" s="21" t="str">
        <f>IFERROR(__xludf.DUMMYFUNCTION("""COMPUTED_VALUE"""),"2005")</f>
        <v>2005</v>
      </c>
    </row>
    <row r="380" ht="15.75" customHeight="1">
      <c r="A380" s="9">
        <v>379.0</v>
      </c>
      <c r="B380" s="21" t="str">
        <f>IFERROR(__xludf.DUMMYFUNCTION("""COMPUTED_VALUE"""),"Herbie: Fully Loaded")</f>
        <v>Herbie: Fully Loaded</v>
      </c>
      <c r="C380" s="21" t="str">
        <f>IFERROR(__xludf.DUMMYFUNCTION("""COMPUTED_VALUE"""),"Angela Robinson")</f>
        <v>Angela Robinson</v>
      </c>
      <c r="D380" s="21" t="str">
        <f>IFERROR(__xludf.DUMMYFUNCTION("""COMPUTED_VALUE"""),"2005")</f>
        <v>2005</v>
      </c>
    </row>
    <row r="381" ht="15.75" customHeight="1">
      <c r="A381" s="9">
        <v>380.0</v>
      </c>
      <c r="B381" s="21" t="str">
        <f>IFERROR(__xludf.DUMMYFUNCTION("""COMPUTED_VALUE"""),"Look Both Ways")</f>
        <v>Look Both Ways</v>
      </c>
      <c r="C381" s="21" t="str">
        <f>IFERROR(__xludf.DUMMYFUNCTION("""COMPUTED_VALUE"""),"Sarah Watt")</f>
        <v>Sarah Watt</v>
      </c>
      <c r="D381" s="21" t="str">
        <f>IFERROR(__xludf.DUMMYFUNCTION("""COMPUTED_VALUE"""),"2005")</f>
        <v>2005</v>
      </c>
    </row>
    <row r="382" ht="15.75" customHeight="1">
      <c r="A382" s="9">
        <v>381.0</v>
      </c>
      <c r="B382" s="21" t="str">
        <f>IFERROR(__xludf.DUMMYFUNCTION("""COMPUTED_VALUE"""),"Lords of Dogtown")</f>
        <v>Lords of Dogtown</v>
      </c>
      <c r="C382" s="21" t="str">
        <f>IFERROR(__xludf.DUMMYFUNCTION("""COMPUTED_VALUE"""),"Catherine Hardwicke")</f>
        <v>Catherine Hardwicke</v>
      </c>
      <c r="D382" s="21" t="str">
        <f>IFERROR(__xludf.DUMMYFUNCTION("""COMPUTED_VALUE"""),"2005")</f>
        <v>2005</v>
      </c>
    </row>
    <row r="383" ht="15.75" customHeight="1">
      <c r="A383" s="9">
        <v>382.0</v>
      </c>
      <c r="B383" s="21" t="str">
        <f>IFERROR(__xludf.DUMMYFUNCTION("""COMPUTED_VALUE"""),"North Country")</f>
        <v>North Country</v>
      </c>
      <c r="C383" s="21" t="str">
        <f>IFERROR(__xludf.DUMMYFUNCTION("""COMPUTED_VALUE"""),"Niki Caro")</f>
        <v>Niki Caro</v>
      </c>
      <c r="D383" s="21" t="str">
        <f>IFERROR(__xludf.DUMMYFUNCTION("""COMPUTED_VALUE"""),"2005")</f>
        <v>2005</v>
      </c>
    </row>
    <row r="384" ht="15.75" customHeight="1">
      <c r="A384" s="9">
        <v>383.0</v>
      </c>
      <c r="B384" s="21" t="str">
        <f>IFERROR(__xludf.DUMMYFUNCTION("""COMPUTED_VALUE"""),"The Notorious Bettie Page")</f>
        <v>The Notorious Bettie Page</v>
      </c>
      <c r="C384" s="21" t="str">
        <f>IFERROR(__xludf.DUMMYFUNCTION("""COMPUTED_VALUE"""),"Mary Harron")</f>
        <v>Mary Harron</v>
      </c>
      <c r="D384" s="21" t="str">
        <f>IFERROR(__xludf.DUMMYFUNCTION("""COMPUTED_VALUE"""),"2005")</f>
        <v>2005</v>
      </c>
    </row>
    <row r="385" ht="15.75" customHeight="1">
      <c r="A385" s="9">
        <v>384.0</v>
      </c>
      <c r="B385" s="21" t="str">
        <f>IFERROR(__xludf.DUMMYFUNCTION("""COMPUTED_VALUE"""),"On a Clear Day")</f>
        <v>On a Clear Day</v>
      </c>
      <c r="C385" s="21" t="str">
        <f>IFERROR(__xludf.DUMMYFUNCTION("""COMPUTED_VALUE"""),"Gaby Dellal")</f>
        <v>Gaby Dellal</v>
      </c>
      <c r="D385" s="21" t="str">
        <f>IFERROR(__xludf.DUMMYFUNCTION("""COMPUTED_VALUE"""),"2005")</f>
        <v>2005</v>
      </c>
    </row>
    <row r="386" ht="15.75" customHeight="1">
      <c r="A386" s="9">
        <v>385.0</v>
      </c>
      <c r="B386" s="21" t="str">
        <f>IFERROR(__xludf.DUMMYFUNCTION("""COMPUTED_VALUE"""),"The Prize Winner of Defiance, Ohio")</f>
        <v>The Prize Winner of Defiance, Ohio</v>
      </c>
      <c r="C386" s="21" t="str">
        <f>IFERROR(__xludf.DUMMYFUNCTION("""COMPUTED_VALUE"""),"Jane Anderson")</f>
        <v>Jane Anderson</v>
      </c>
      <c r="D386" s="21" t="str">
        <f>IFERROR(__xludf.DUMMYFUNCTION("""COMPUTED_VALUE"""),"2005")</f>
        <v>2005</v>
      </c>
    </row>
    <row r="387" ht="15.75" customHeight="1">
      <c r="A387" s="9">
        <v>386.0</v>
      </c>
      <c r="B387" s="21" t="str">
        <f>IFERROR(__xludf.DUMMYFUNCTION("""COMPUTED_VALUE"""),"Sisters of '77")</f>
        <v>Sisters of '77</v>
      </c>
      <c r="C387" s="21" t="str">
        <f>IFERROR(__xludf.DUMMYFUNCTION("""COMPUTED_VALUE"""),"Cynthia Salzman Mondell co-directed with Allen Mondell")</f>
        <v>Cynthia Salzman Mondell co-directed with Allen Mondell</v>
      </c>
      <c r="D387" s="21" t="str">
        <f>IFERROR(__xludf.DUMMYFUNCTION("""COMPUTED_VALUE"""),"2005")</f>
        <v>2005</v>
      </c>
    </row>
    <row r="388" ht="15.75" customHeight="1">
      <c r="A388" s="9">
        <v>387.0</v>
      </c>
      <c r="B388" s="21" t="str">
        <f>IFERROR(__xludf.DUMMYFUNCTION("""COMPUTED_VALUE"""),"Away from Her")</f>
        <v>Away from Her</v>
      </c>
      <c r="C388" s="21" t="str">
        <f>IFERROR(__xludf.DUMMYFUNCTION("""COMPUTED_VALUE"""),"Sarah Polley")</f>
        <v>Sarah Polley</v>
      </c>
      <c r="D388" s="21" t="str">
        <f>IFERROR(__xludf.DUMMYFUNCTION("""COMPUTED_VALUE"""),"2006")</f>
        <v>2006</v>
      </c>
    </row>
    <row r="389" ht="15.75" customHeight="1">
      <c r="A389" s="9">
        <v>388.0</v>
      </c>
      <c r="B389" s="21" t="str">
        <f>IFERROR(__xludf.DUMMYFUNCTION("""COMPUTED_VALUE"""),"Blood Tea and Red String")</f>
        <v>Blood Tea and Red String</v>
      </c>
      <c r="C389" s="21" t="str">
        <f>IFERROR(__xludf.DUMMYFUNCTION("""COMPUTED_VALUE"""),"Christiane Cegavske")</f>
        <v>Christiane Cegavske</v>
      </c>
      <c r="D389" s="21" t="str">
        <f>IFERROR(__xludf.DUMMYFUNCTION("""COMPUTED_VALUE"""),"2006")</f>
        <v>2006</v>
      </c>
    </row>
    <row r="390" ht="15.75" customHeight="1">
      <c r="A390" s="9">
        <v>389.0</v>
      </c>
      <c r="B390" s="21" t="str">
        <f>IFERROR(__xludf.DUMMYFUNCTION("""COMPUTED_VALUE"""),"Copying Beethoven")</f>
        <v>Copying Beethoven</v>
      </c>
      <c r="C390" s="21" t="str">
        <f>IFERROR(__xludf.DUMMYFUNCTION("""COMPUTED_VALUE"""),"Agnieszka Holland")</f>
        <v>Agnieszka Holland</v>
      </c>
      <c r="D390" s="21" t="str">
        <f>IFERROR(__xludf.DUMMYFUNCTION("""COMPUTED_VALUE"""),"2006")</f>
        <v>2006</v>
      </c>
    </row>
    <row r="391" ht="15.75" customHeight="1">
      <c r="A391" s="9">
        <v>390.0</v>
      </c>
      <c r="B391" s="21" t="str">
        <f>IFERROR(__xludf.DUMMYFUNCTION("""COMPUTED_VALUE"""),"Day Night Day Night")</f>
        <v>Day Night Day Night</v>
      </c>
      <c r="C391" s="21" t="str">
        <f>IFERROR(__xludf.DUMMYFUNCTION("""COMPUTED_VALUE"""),"Julia Loktev")</f>
        <v>Julia Loktev</v>
      </c>
      <c r="D391" s="21" t="str">
        <f>IFERROR(__xludf.DUMMYFUNCTION("""COMPUTED_VALUE"""),"2006")</f>
        <v>2006</v>
      </c>
    </row>
    <row r="392" ht="15.75" customHeight="1">
      <c r="A392" s="9">
        <v>391.0</v>
      </c>
      <c r="B392" s="21" t="str">
        <f>IFERROR(__xludf.DUMMYFUNCTION("""COMPUTED_VALUE"""),"The Dead Girl")</f>
        <v>The Dead Girl</v>
      </c>
      <c r="C392" s="21" t="str">
        <f>IFERROR(__xludf.DUMMYFUNCTION("""COMPUTED_VALUE"""),"Karen Moncrieff")</f>
        <v>Karen Moncrieff</v>
      </c>
      <c r="D392" s="21" t="str">
        <f>IFERROR(__xludf.DUMMYFUNCTION("""COMPUTED_VALUE"""),"2006")</f>
        <v>2006</v>
      </c>
    </row>
    <row r="393" ht="15.75" customHeight="1">
      <c r="A393" s="9">
        <v>392.0</v>
      </c>
      <c r="B393" s="21" t="str">
        <f>IFERROR(__xludf.DUMMYFUNCTION("""COMPUTED_VALUE"""),"Diggers")</f>
        <v>Diggers</v>
      </c>
      <c r="C393" s="21" t="str">
        <f>IFERROR(__xludf.DUMMYFUNCTION("""COMPUTED_VALUE"""),"Katherine Dieckmann")</f>
        <v>Katherine Dieckmann</v>
      </c>
      <c r="D393" s="21" t="str">
        <f>IFERROR(__xludf.DUMMYFUNCTION("""COMPUTED_VALUE"""),"2006")</f>
        <v>2006</v>
      </c>
    </row>
    <row r="394" ht="15.75" customHeight="1">
      <c r="A394" s="9">
        <v>393.0</v>
      </c>
      <c r="B394" s="21" t="str">
        <f>IFERROR(__xludf.DUMMYFUNCTION("""COMPUTED_VALUE"""),"Friends with Money")</f>
        <v>Friends with Money</v>
      </c>
      <c r="C394" s="21" t="str">
        <f>IFERROR(__xludf.DUMMYFUNCTION("""COMPUTED_VALUE"""),"Nicole Holofcener")</f>
        <v>Nicole Holofcener</v>
      </c>
      <c r="D394" s="21" t="str">
        <f>IFERROR(__xludf.DUMMYFUNCTION("""COMPUTED_VALUE"""),"2006")</f>
        <v>2006</v>
      </c>
    </row>
    <row r="395" ht="15.75" customHeight="1">
      <c r="A395" s="9">
        <v>394.0</v>
      </c>
      <c r="B395" s="21" t="str">
        <f>IFERROR(__xludf.DUMMYFUNCTION("""COMPUTED_VALUE"""),"The Holiday")</f>
        <v>The Holiday</v>
      </c>
      <c r="C395" s="21" t="str">
        <f>IFERROR(__xludf.DUMMYFUNCTION("""COMPUTED_VALUE"""),"Nancy Meyers")</f>
        <v>Nancy Meyers</v>
      </c>
      <c r="D395" s="21" t="str">
        <f>IFERROR(__xludf.DUMMYFUNCTION("""COMPUTED_VALUE"""),"2006")</f>
        <v>2006</v>
      </c>
    </row>
    <row r="396" ht="15.75" customHeight="1">
      <c r="A396" s="9">
        <v>395.0</v>
      </c>
      <c r="B396" s="21" t="str">
        <f>IFERROR(__xludf.DUMMYFUNCTION("""COMPUTED_VALUE"""),"Marie Antoinette")</f>
        <v>Marie Antoinette</v>
      </c>
      <c r="C396" s="21" t="str">
        <f>IFERROR(__xludf.DUMMYFUNCTION("""COMPUTED_VALUE"""),"Sofia Coppola")</f>
        <v>Sofia Coppola</v>
      </c>
      <c r="D396" s="21" t="str">
        <f>IFERROR(__xludf.DUMMYFUNCTION("""COMPUTED_VALUE"""),"2006")</f>
        <v>2006</v>
      </c>
    </row>
    <row r="397" ht="15.75" customHeight="1">
      <c r="A397" s="9">
        <v>396.0</v>
      </c>
      <c r="B397" s="21" t="str">
        <f>IFERROR(__xludf.DUMMYFUNCTION("""COMPUTED_VALUE"""),"Material Girls")</f>
        <v>Material Girls</v>
      </c>
      <c r="C397" s="21" t="str">
        <f>IFERROR(__xludf.DUMMYFUNCTION("""COMPUTED_VALUE"""),"Martha Coolidge")</f>
        <v>Martha Coolidge</v>
      </c>
      <c r="D397" s="21" t="str">
        <f>IFERROR(__xludf.DUMMYFUNCTION("""COMPUTED_VALUE"""),"2006")</f>
        <v>2006</v>
      </c>
    </row>
    <row r="398" ht="15.75" customHeight="1">
      <c r="A398" s="9">
        <v>397.0</v>
      </c>
      <c r="B398" s="21" t="str">
        <f>IFERROR(__xludf.DUMMYFUNCTION("""COMPUTED_VALUE"""),"Old Joy")</f>
        <v>Old Joy</v>
      </c>
      <c r="C398" s="21" t="str">
        <f>IFERROR(__xludf.DUMMYFUNCTION("""COMPUTED_VALUE"""),"Kelly Reichardt")</f>
        <v>Kelly Reichardt</v>
      </c>
      <c r="D398" s="21" t="str">
        <f>IFERROR(__xludf.DUMMYFUNCTION("""COMPUTED_VALUE"""),"2006")</f>
        <v>2006</v>
      </c>
    </row>
    <row r="399" ht="15.75" customHeight="1">
      <c r="A399" s="9">
        <v>398.0</v>
      </c>
      <c r="B399" s="21" t="str">
        <f>IFERROR(__xludf.DUMMYFUNCTION("""COMPUTED_VALUE"""),"Piter FM")</f>
        <v>Piter FM</v>
      </c>
      <c r="C399" s="21" t="str">
        <f>IFERROR(__xludf.DUMMYFUNCTION("""COMPUTED_VALUE"""),"Oksana Bychkova")</f>
        <v>Oksana Bychkova</v>
      </c>
      <c r="D399" s="21" t="str">
        <f>IFERROR(__xludf.DUMMYFUNCTION("""COMPUTED_VALUE"""),"2006")</f>
        <v>2006</v>
      </c>
    </row>
    <row r="400" ht="15.75" customHeight="1">
      <c r="A400" s="9">
        <v>399.0</v>
      </c>
      <c r="B400" s="21" t="str">
        <f>IFERROR(__xludf.DUMMYFUNCTION("""COMPUTED_VALUE"""),"Red Road")</f>
        <v>Red Road</v>
      </c>
      <c r="C400" s="21" t="str">
        <f>IFERROR(__xludf.DUMMYFUNCTION("""COMPUTED_VALUE"""),"Andrea Arnold")</f>
        <v>Andrea Arnold</v>
      </c>
      <c r="D400" s="21" t="str">
        <f>IFERROR(__xludf.DUMMYFUNCTION("""COMPUTED_VALUE"""),"2006")</f>
        <v>2006</v>
      </c>
    </row>
    <row r="401" ht="15.75" customHeight="1">
      <c r="A401" s="9">
        <v>400.0</v>
      </c>
      <c r="B401" s="21" t="str">
        <f>IFERROR(__xludf.DUMMYFUNCTION("""COMPUTED_VALUE"""),"Sherrybaby")</f>
        <v>Sherrybaby</v>
      </c>
      <c r="C401" s="21" t="str">
        <f>IFERROR(__xludf.DUMMYFUNCTION("""COMPUTED_VALUE"""),"Laurie Collyer")</f>
        <v>Laurie Collyer</v>
      </c>
      <c r="D401" s="21" t="str">
        <f>IFERROR(__xludf.DUMMYFUNCTION("""COMPUTED_VALUE"""),"2006")</f>
        <v>2006</v>
      </c>
    </row>
    <row r="402" ht="15.75" customHeight="1">
      <c r="A402" s="9">
        <v>401.0</v>
      </c>
      <c r="B402" s="21" t="str">
        <f>IFERROR(__xludf.DUMMYFUNCTION("""COMPUTED_VALUE"""),"Stick It")</f>
        <v>Stick It</v>
      </c>
      <c r="C402" s="21" t="str">
        <f>IFERROR(__xludf.DUMMYFUNCTION("""COMPUTED_VALUE"""),"Jessica Bendinger")</f>
        <v>Jessica Bendinger</v>
      </c>
      <c r="D402" s="21" t="str">
        <f>IFERROR(__xludf.DUMMYFUNCTION("""COMPUTED_VALUE"""),"2006")</f>
        <v>2006</v>
      </c>
    </row>
    <row r="403" ht="15.75" customHeight="1">
      <c r="A403" s="9">
        <v>402.0</v>
      </c>
      <c r="B403" s="21" t="str">
        <f>IFERROR(__xludf.DUMMYFUNCTION("""COMPUTED_VALUE"""),"Across the Universe")</f>
        <v>Across the Universe</v>
      </c>
      <c r="C403" s="21" t="str">
        <f>IFERROR(__xludf.DUMMYFUNCTION("""COMPUTED_VALUE"""),"Julie Taymor")</f>
        <v>Julie Taymor</v>
      </c>
      <c r="D403" s="21" t="str">
        <f>IFERROR(__xludf.DUMMYFUNCTION("""COMPUTED_VALUE"""),"2007")</f>
        <v>2007</v>
      </c>
    </row>
    <row r="404" ht="15.75" customHeight="1">
      <c r="A404" s="9">
        <v>403.0</v>
      </c>
      <c r="B404" s="21" t="str">
        <f>IFERROR(__xludf.DUMMYFUNCTION("""COMPUTED_VALUE"""),"All Is Forgiven")</f>
        <v>All Is Forgiven</v>
      </c>
      <c r="C404" s="21" t="str">
        <f>IFERROR(__xludf.DUMMYFUNCTION("""COMPUTED_VALUE"""),"Mia Hansen-Løve")</f>
        <v>Mia Hansen-Løve</v>
      </c>
      <c r="D404" s="21" t="str">
        <f>IFERROR(__xludf.DUMMYFUNCTION("""COMPUTED_VALUE"""),"2007")</f>
        <v>2007</v>
      </c>
    </row>
    <row r="405" ht="15.75" customHeight="1">
      <c r="A405" s="9">
        <v>404.0</v>
      </c>
      <c r="B405" s="21" t="str">
        <f>IFERROR(__xludf.DUMMYFUNCTION("""COMPUTED_VALUE"""),"Death Defying Acts")</f>
        <v>Death Defying Acts</v>
      </c>
      <c r="C405" s="21" t="str">
        <f>IFERROR(__xludf.DUMMYFUNCTION("""COMPUTED_VALUE"""),"Gillian Armstrong")</f>
        <v>Gillian Armstrong</v>
      </c>
      <c r="D405" s="21" t="str">
        <f>IFERROR(__xludf.DUMMYFUNCTION("""COMPUTED_VALUE"""),"2007")</f>
        <v>2007</v>
      </c>
    </row>
    <row r="406" ht="15.75" customHeight="1">
      <c r="A406" s="9">
        <v>405.0</v>
      </c>
      <c r="B406" s="21" t="str">
        <f>IFERROR(__xludf.DUMMYFUNCTION("""COMPUTED_VALUE"""),"Hounddog")</f>
        <v>Hounddog</v>
      </c>
      <c r="C406" s="21" t="str">
        <f>IFERROR(__xludf.DUMMYFUNCTION("""COMPUTED_VALUE"""),"Deborah Kampmeier")</f>
        <v>Deborah Kampmeier</v>
      </c>
      <c r="D406" s="21" t="str">
        <f>IFERROR(__xludf.DUMMYFUNCTION("""COMPUTED_VALUE"""),"2007")</f>
        <v>2007</v>
      </c>
    </row>
    <row r="407" ht="15.75" customHeight="1">
      <c r="A407" s="9">
        <v>406.0</v>
      </c>
      <c r="B407" s="21" t="str">
        <f>IFERROR(__xludf.DUMMYFUNCTION("""COMPUTED_VALUE"""),"I Could Never Be Your Woman")</f>
        <v>I Could Never Be Your Woman</v>
      </c>
      <c r="C407" s="21" t="str">
        <f>IFERROR(__xludf.DUMMYFUNCTION("""COMPUTED_VALUE"""),"Amy Heckerling")</f>
        <v>Amy Heckerling</v>
      </c>
      <c r="D407" s="21" t="str">
        <f>IFERROR(__xludf.DUMMYFUNCTION("""COMPUTED_VALUE"""),"2007")</f>
        <v>2007</v>
      </c>
    </row>
    <row r="408" ht="15.75" customHeight="1">
      <c r="A408" s="9">
        <v>407.0</v>
      </c>
      <c r="B408" s="21" t="str">
        <f>IFERROR(__xludf.DUMMYFUNCTION("""COMPUTED_VALUE"""),"The Last Mistress")</f>
        <v>The Last Mistress</v>
      </c>
      <c r="C408" s="21" t="str">
        <f>IFERROR(__xludf.DUMMYFUNCTION("""COMPUTED_VALUE"""),"Catherine Breillat")</f>
        <v>Catherine Breillat</v>
      </c>
      <c r="D408" s="21" t="str">
        <f>IFERROR(__xludf.DUMMYFUNCTION("""COMPUTED_VALUE"""),"2007")</f>
        <v>2007</v>
      </c>
    </row>
    <row r="409" ht="15.75" customHeight="1">
      <c r="A409" s="9">
        <v>408.0</v>
      </c>
      <c r="B409" s="21" t="str">
        <f>IFERROR(__xludf.DUMMYFUNCTION("""COMPUTED_VALUE"""),"Mermaid")</f>
        <v>Mermaid</v>
      </c>
      <c r="C409" s="21" t="str">
        <f>IFERROR(__xludf.DUMMYFUNCTION("""COMPUTED_VALUE"""),"Anna Melikyan")</f>
        <v>Anna Melikyan</v>
      </c>
      <c r="D409" s="21" t="str">
        <f>IFERROR(__xludf.DUMMYFUNCTION("""COMPUTED_VALUE"""),"2007")</f>
        <v>2007</v>
      </c>
    </row>
    <row r="410" ht="15.75" customHeight="1">
      <c r="A410" s="9">
        <v>409.0</v>
      </c>
      <c r="B410" s="21" t="str">
        <f>IFERROR(__xludf.DUMMYFUNCTION("""COMPUTED_VALUE"""),"Never Forever")</f>
        <v>Never Forever</v>
      </c>
      <c r="C410" s="21" t="str">
        <f>IFERROR(__xludf.DUMMYFUNCTION("""COMPUTED_VALUE"""),"Gina Kim")</f>
        <v>Gina Kim</v>
      </c>
      <c r="D410" s="21" t="str">
        <f>IFERROR(__xludf.DUMMYFUNCTION("""COMPUTED_VALUE"""),"2007")</f>
        <v>2007</v>
      </c>
    </row>
    <row r="411" ht="15.75" customHeight="1">
      <c r="A411" s="9">
        <v>410.0</v>
      </c>
      <c r="B411" s="21" t="str">
        <f>IFERROR(__xludf.DUMMYFUNCTION("""COMPUTED_VALUE"""),"The Savages")</f>
        <v>The Savages</v>
      </c>
      <c r="C411" s="21" t="str">
        <f>IFERROR(__xludf.DUMMYFUNCTION("""COMPUTED_VALUE"""),"Tamara Jenkins")</f>
        <v>Tamara Jenkins</v>
      </c>
      <c r="D411" s="21" t="str">
        <f>IFERROR(__xludf.DUMMYFUNCTION("""COMPUTED_VALUE"""),"2007")</f>
        <v>2007</v>
      </c>
    </row>
    <row r="412" ht="15.75" customHeight="1">
      <c r="A412" s="9">
        <v>411.0</v>
      </c>
      <c r="B412" s="21" t="str">
        <f>IFERROR(__xludf.DUMMYFUNCTION("""COMPUTED_VALUE"""),"Things We Lost in the Fire")</f>
        <v>Things We Lost in the Fire</v>
      </c>
      <c r="C412" s="21" t="str">
        <f>IFERROR(__xludf.DUMMYFUNCTION("""COMPUTED_VALUE"""),"Susanne Bier")</f>
        <v>Susanne Bier</v>
      </c>
      <c r="D412" s="21" t="str">
        <f>IFERROR(__xludf.DUMMYFUNCTION("""COMPUTED_VALUE"""),"2007")</f>
        <v>2007</v>
      </c>
    </row>
    <row r="413" ht="15.75" customHeight="1">
      <c r="A413" s="9">
        <v>412.0</v>
      </c>
      <c r="B413" s="21" t="str">
        <f>IFERROR(__xludf.DUMMYFUNCTION("""COMPUTED_VALUE"""),"Waitress")</f>
        <v>Waitress</v>
      </c>
      <c r="C413" s="21" t="str">
        <f>IFERROR(__xludf.DUMMYFUNCTION("""COMPUTED_VALUE"""),"Adrienne Shelly")</f>
        <v>Adrienne Shelly</v>
      </c>
      <c r="D413" s="21" t="str">
        <f>IFERROR(__xludf.DUMMYFUNCTION("""COMPUTED_VALUE"""),"2007")</f>
        <v>2007</v>
      </c>
    </row>
    <row r="414" ht="15.75" customHeight="1">
      <c r="A414" s="9">
        <v>413.0</v>
      </c>
      <c r="B414" s="21" t="str">
        <f>IFERROR(__xludf.DUMMYFUNCTION("""COMPUTED_VALUE"""),"Water Lilies")</f>
        <v>Water Lilies</v>
      </c>
      <c r="C414" s="21" t="str">
        <f>IFERROR(__xludf.DUMMYFUNCTION("""COMPUTED_VALUE"""),"Céline Sciamma")</f>
        <v>Céline Sciamma</v>
      </c>
      <c r="D414" s="21" t="str">
        <f>IFERROR(__xludf.DUMMYFUNCTION("""COMPUTED_VALUE"""),"2007")</f>
        <v>2007</v>
      </c>
    </row>
    <row r="415" ht="15.75" customHeight="1">
      <c r="A415" s="9">
        <v>414.0</v>
      </c>
      <c r="B415" s="21" t="str">
        <f>IFERROR(__xludf.DUMMYFUNCTION("""COMPUTED_VALUE"""),"35 Shots of Rum")</f>
        <v>35 Shots of Rum</v>
      </c>
      <c r="C415" s="21" t="str">
        <f>IFERROR(__xludf.DUMMYFUNCTION("""COMPUTED_VALUE"""),"Claire Denis")</f>
        <v>Claire Denis</v>
      </c>
      <c r="D415" s="21" t="str">
        <f>IFERROR(__xludf.DUMMYFUNCTION("""COMPUTED_VALUE"""),"2008")</f>
        <v>2008</v>
      </c>
    </row>
    <row r="416" ht="15.75" customHeight="1">
      <c r="A416" s="9">
        <v>415.0</v>
      </c>
      <c r="B416" s="21" t="str">
        <f>IFERROR(__xludf.DUMMYFUNCTION("""COMPUTED_VALUE"""),"Angus, Thongs and Perfect Snogging")</f>
        <v>Angus, Thongs and Perfect Snogging</v>
      </c>
      <c r="C416" s="21" t="str">
        <f>IFERROR(__xludf.DUMMYFUNCTION("""COMPUTED_VALUE"""),"Gurinder Chadha")</f>
        <v>Gurinder Chadha</v>
      </c>
      <c r="D416" s="21" t="str">
        <f>IFERROR(__xludf.DUMMYFUNCTION("""COMPUTED_VALUE"""),"2008")</f>
        <v>2008</v>
      </c>
    </row>
    <row r="417" ht="15.75" customHeight="1">
      <c r="A417" s="9">
        <v>416.0</v>
      </c>
      <c r="B417" s="21" t="str">
        <f>IFERROR(__xludf.DUMMYFUNCTION("""COMPUTED_VALUE"""),"The Beaches of Agnes")</f>
        <v>The Beaches of Agnes</v>
      </c>
      <c r="C417" s="21" t="str">
        <f>IFERROR(__xludf.DUMMYFUNCTION("""COMPUTED_VALUE"""),"Agnes Varda")</f>
        <v>Agnes Varda</v>
      </c>
      <c r="D417" s="21" t="str">
        <f>IFERROR(__xludf.DUMMYFUNCTION("""COMPUTED_VALUE"""),"2008")</f>
        <v>2008</v>
      </c>
    </row>
    <row r="418" ht="15.75" customHeight="1">
      <c r="A418" s="9">
        <v>417.0</v>
      </c>
      <c r="B418" s="21" t="str">
        <f>IFERROR(__xludf.DUMMYFUNCTION("""COMPUTED_VALUE"""),"Everybody Dies but Me")</f>
        <v>Everybody Dies but Me</v>
      </c>
      <c r="C418" s="21" t="str">
        <f>IFERROR(__xludf.DUMMYFUNCTION("""COMPUTED_VALUE"""),"Valeriya Gai Germanika")</f>
        <v>Valeriya Gai Germanika</v>
      </c>
      <c r="D418" s="21" t="str">
        <f>IFERROR(__xludf.DUMMYFUNCTION("""COMPUTED_VALUE"""),"2008")</f>
        <v>2008</v>
      </c>
    </row>
    <row r="419" ht="15.75" customHeight="1">
      <c r="A419" s="9">
        <v>418.0</v>
      </c>
      <c r="B419" s="21" t="str">
        <f>IFERROR(__xludf.DUMMYFUNCTION("""COMPUTED_VALUE"""),"Frozen River")</f>
        <v>Frozen River</v>
      </c>
      <c r="C419" s="21" t="str">
        <f>IFERROR(__xludf.DUMMYFUNCTION("""COMPUTED_VALUE"""),"Courtney Hunt")</f>
        <v>Courtney Hunt</v>
      </c>
      <c r="D419" s="21" t="str">
        <f>IFERROR(__xludf.DUMMYFUNCTION("""COMPUTED_VALUE"""),"2008")</f>
        <v>2008</v>
      </c>
    </row>
    <row r="420" ht="15.75" customHeight="1">
      <c r="A420" s="9">
        <v>419.0</v>
      </c>
      <c r="B420" s="21" t="str">
        <f>IFERROR(__xludf.DUMMYFUNCTION("""COMPUTED_VALUE"""),"The Headless Woman")</f>
        <v>The Headless Woman</v>
      </c>
      <c r="C420" s="21" t="str">
        <f>IFERROR(__xludf.DUMMYFUNCTION("""COMPUTED_VALUE"""),"Lucrecia Martel")</f>
        <v>Lucrecia Martel</v>
      </c>
      <c r="D420" s="21" t="str">
        <f>IFERROR(__xludf.DUMMYFUNCTION("""COMPUTED_VALUE"""),"2008")</f>
        <v>2008</v>
      </c>
    </row>
    <row r="421" ht="15.75" customHeight="1">
      <c r="A421" s="9">
        <v>420.0</v>
      </c>
      <c r="B421" s="21" t="str">
        <f>IFERROR(__xludf.DUMMYFUNCTION("""COMPUTED_VALUE"""),"The Hurt Locker")</f>
        <v>The Hurt Locker</v>
      </c>
      <c r="C421" s="21" t="str">
        <f>IFERROR(__xludf.DUMMYFUNCTION("""COMPUTED_VALUE"""),"Kathryn Bigelow")</f>
        <v>Kathryn Bigelow</v>
      </c>
      <c r="D421" s="21" t="str">
        <f>IFERROR(__xludf.DUMMYFUNCTION("""COMPUTED_VALUE"""),"2008")</f>
        <v>2008</v>
      </c>
    </row>
    <row r="422" ht="15.75" customHeight="1">
      <c r="A422" s="9">
        <v>421.0</v>
      </c>
      <c r="B422" s="21" t="str">
        <f>IFERROR(__xludf.DUMMYFUNCTION("""COMPUTED_VALUE"""),"Mamma Mia!")</f>
        <v>Mamma Mia!</v>
      </c>
      <c r="C422" s="21" t="str">
        <f>IFERROR(__xludf.DUMMYFUNCTION("""COMPUTED_VALUE"""),"Phyllida Lloyd")</f>
        <v>Phyllida Lloyd</v>
      </c>
      <c r="D422" s="21" t="str">
        <f>IFERROR(__xludf.DUMMYFUNCTION("""COMPUTED_VALUE"""),"2008")</f>
        <v>2008</v>
      </c>
      <c r="E422" s="21" t="s">
        <v>1753</v>
      </c>
      <c r="F422" s="21" t="s">
        <v>1753</v>
      </c>
    </row>
    <row r="423" ht="15.75" customHeight="1">
      <c r="A423" s="9">
        <v>422.0</v>
      </c>
      <c r="B423" s="21" t="str">
        <f>IFERROR(__xludf.DUMMYFUNCTION("""COMPUTED_VALUE"""),"Ricky Rapper")</f>
        <v>Ricky Rapper</v>
      </c>
      <c r="C423" s="21" t="str">
        <f>IFERROR(__xludf.DUMMYFUNCTION("""COMPUTED_VALUE"""),"Mari Rantasila")</f>
        <v>Mari Rantasila</v>
      </c>
      <c r="D423" s="21" t="str">
        <f>IFERROR(__xludf.DUMMYFUNCTION("""COMPUTED_VALUE"""),"2008")</f>
        <v>2008</v>
      </c>
    </row>
    <row r="424" ht="15.75" customHeight="1">
      <c r="A424" s="9">
        <v>423.0</v>
      </c>
      <c r="B424" s="21" t="str">
        <f>IFERROR(__xludf.DUMMYFUNCTION("""COMPUTED_VALUE"""),"Stop-Loss")</f>
        <v>Stop-Loss</v>
      </c>
      <c r="C424" s="21" t="str">
        <f>IFERROR(__xludf.DUMMYFUNCTION("""COMPUTED_VALUE"""),"Kimberly Peirce")</f>
        <v>Kimberly Peirce</v>
      </c>
      <c r="D424" s="21" t="str">
        <f>IFERROR(__xludf.DUMMYFUNCTION("""COMPUTED_VALUE"""),"2008")</f>
        <v>2008</v>
      </c>
    </row>
    <row r="425" ht="15.75" customHeight="1">
      <c r="A425" s="9">
        <v>424.0</v>
      </c>
      <c r="B425" s="21" t="str">
        <f>IFERROR(__xludf.DUMMYFUNCTION("""COMPUTED_VALUE"""),"Sunshine Cleaning")</f>
        <v>Sunshine Cleaning</v>
      </c>
      <c r="C425" s="21" t="str">
        <f>IFERROR(__xludf.DUMMYFUNCTION("""COMPUTED_VALUE"""),"Christine Jeffs")</f>
        <v>Christine Jeffs</v>
      </c>
      <c r="D425" s="21" t="str">
        <f>IFERROR(__xludf.DUMMYFUNCTION("""COMPUTED_VALUE"""),"2008")</f>
        <v>2008</v>
      </c>
    </row>
    <row r="426" ht="15.75" customHeight="1">
      <c r="A426" s="9">
        <v>425.0</v>
      </c>
      <c r="B426" s="21" t="str">
        <f>IFERROR(__xludf.DUMMYFUNCTION("""COMPUTED_VALUE"""),"Surveillance")</f>
        <v>Surveillance</v>
      </c>
      <c r="C426" s="21" t="str">
        <f>IFERROR(__xludf.DUMMYFUNCTION("""COMPUTED_VALUE"""),"Jennifer Lynch")</f>
        <v>Jennifer Lynch</v>
      </c>
      <c r="D426" s="21" t="str">
        <f>IFERROR(__xludf.DUMMYFUNCTION("""COMPUTED_VALUE"""),"2008")</f>
        <v>2008</v>
      </c>
    </row>
    <row r="427" ht="15.75" customHeight="1">
      <c r="A427" s="9">
        <v>426.0</v>
      </c>
      <c r="B427" s="21" t="str">
        <f>IFERROR(__xludf.DUMMYFUNCTION("""COMPUTED_VALUE"""),"Twilight")</f>
        <v>Twilight</v>
      </c>
      <c r="C427" s="21" t="str">
        <f>IFERROR(__xludf.DUMMYFUNCTION("""COMPUTED_VALUE"""),"Catherine Hardwicke")</f>
        <v>Catherine Hardwicke</v>
      </c>
      <c r="D427" s="21" t="str">
        <f>IFERROR(__xludf.DUMMYFUNCTION("""COMPUTED_VALUE"""),"2008")</f>
        <v>2008</v>
      </c>
    </row>
    <row r="428" ht="15.75" customHeight="1">
      <c r="A428" s="9">
        <v>427.0</v>
      </c>
      <c r="B428" s="21" t="str">
        <f>IFERROR(__xludf.DUMMYFUNCTION("""COMPUTED_VALUE"""),"Wendy and Lucy")</f>
        <v>Wendy and Lucy</v>
      </c>
      <c r="C428" s="21" t="str">
        <f>IFERROR(__xludf.DUMMYFUNCTION("""COMPUTED_VALUE"""),"Kelly Reichardt")</f>
        <v>Kelly Reichardt</v>
      </c>
      <c r="D428" s="21" t="str">
        <f>IFERROR(__xludf.DUMMYFUNCTION("""COMPUTED_VALUE"""),"2008")</f>
        <v>2008</v>
      </c>
    </row>
    <row r="429" ht="15.75" customHeight="1">
      <c r="A429" s="9">
        <v>428.0</v>
      </c>
      <c r="B429" s="21" t="str">
        <f>IFERROR(__xludf.DUMMYFUNCTION("""COMPUTED_VALUE"""),"Amelia")</f>
        <v>Amelia</v>
      </c>
      <c r="C429" s="21" t="str">
        <f>IFERROR(__xludf.DUMMYFUNCTION("""COMPUTED_VALUE"""),"Mira Nair")</f>
        <v>Mira Nair</v>
      </c>
      <c r="D429" s="21" t="str">
        <f>IFERROR(__xludf.DUMMYFUNCTION("""COMPUTED_VALUE"""),"2009")</f>
        <v>2009</v>
      </c>
    </row>
    <row r="430" ht="15.75" customHeight="1">
      <c r="A430" s="9">
        <v>429.0</v>
      </c>
      <c r="B430" s="21" t="str">
        <f>IFERROR(__xludf.DUMMYFUNCTION("""COMPUTED_VALUE"""),"Bluebeard")</f>
        <v>Bluebeard</v>
      </c>
      <c r="C430" s="21" t="str">
        <f>IFERROR(__xludf.DUMMYFUNCTION("""COMPUTED_VALUE"""),"Catherine Breillat")</f>
        <v>Catherine Breillat</v>
      </c>
      <c r="D430" s="21" t="str">
        <f>IFERROR(__xludf.DUMMYFUNCTION("""COMPUTED_VALUE"""),"2009")</f>
        <v>2009</v>
      </c>
    </row>
    <row r="431" ht="15.75" customHeight="1">
      <c r="A431" s="9">
        <v>430.0</v>
      </c>
      <c r="B431" s="21" t="str">
        <f>IFERROR(__xludf.DUMMYFUNCTION("""COMPUTED_VALUE"""),"Bright Star")</f>
        <v>Bright Star</v>
      </c>
      <c r="C431" s="21" t="str">
        <f>IFERROR(__xludf.DUMMYFUNCTION("""COMPUTED_VALUE"""),"Jane Campion")</f>
        <v>Jane Campion</v>
      </c>
      <c r="D431" s="21" t="str">
        <f>IFERROR(__xludf.DUMMYFUNCTION("""COMPUTED_VALUE"""),"2009")</f>
        <v>2009</v>
      </c>
    </row>
    <row r="432" ht="15.75" customHeight="1">
      <c r="A432" s="9">
        <v>431.0</v>
      </c>
      <c r="B432" s="21" t="str">
        <f>IFERROR(__xludf.DUMMYFUNCTION("""COMPUTED_VALUE"""),"Cold Souls")</f>
        <v>Cold Souls</v>
      </c>
      <c r="C432" s="21" t="str">
        <f>IFERROR(__xludf.DUMMYFUNCTION("""COMPUTED_VALUE"""),"Sophie Barthes")</f>
        <v>Sophie Barthes</v>
      </c>
      <c r="D432" s="21" t="str">
        <f>IFERROR(__xludf.DUMMYFUNCTION("""COMPUTED_VALUE"""),"2009")</f>
        <v>2009</v>
      </c>
    </row>
    <row r="433" ht="15.75" customHeight="1">
      <c r="A433" s="9">
        <v>432.0</v>
      </c>
      <c r="B433" s="21" t="str">
        <f>IFERROR(__xludf.DUMMYFUNCTION("""COMPUTED_VALUE"""),"An Education")</f>
        <v>An Education</v>
      </c>
      <c r="C433" s="21" t="str">
        <f>IFERROR(__xludf.DUMMYFUNCTION("""COMPUTED_VALUE"""),"Lone Scherfig")</f>
        <v>Lone Scherfig</v>
      </c>
      <c r="D433" s="21" t="str">
        <f>IFERROR(__xludf.DUMMYFUNCTION("""COMPUTED_VALUE"""),"2009")</f>
        <v>2009</v>
      </c>
    </row>
    <row r="434" ht="15.75" customHeight="1">
      <c r="A434" s="9">
        <v>433.0</v>
      </c>
      <c r="B434" s="21" t="str">
        <f>IFERROR(__xludf.DUMMYFUNCTION("""COMPUTED_VALUE"""),"Everyone Else")</f>
        <v>Everyone Else</v>
      </c>
      <c r="C434" s="21" t="str">
        <f>IFERROR(__xludf.DUMMYFUNCTION("""COMPUTED_VALUE"""),"Maren Ade")</f>
        <v>Maren Ade</v>
      </c>
      <c r="D434" s="21" t="str">
        <f>IFERROR(__xludf.DUMMYFUNCTION("""COMPUTED_VALUE"""),"2009")</f>
        <v>2009</v>
      </c>
    </row>
    <row r="435" ht="15.75" customHeight="1">
      <c r="A435" s="9">
        <v>434.0</v>
      </c>
      <c r="B435" s="21" t="str">
        <f>IFERROR(__xludf.DUMMYFUNCTION("""COMPUTED_VALUE"""),"Father of My Children")</f>
        <v>Father of My Children</v>
      </c>
      <c r="C435" s="21" t="str">
        <f>IFERROR(__xludf.DUMMYFUNCTION("""COMPUTED_VALUE"""),"Mia Hansen-Løve")</f>
        <v>Mia Hansen-Løve</v>
      </c>
      <c r="D435" s="21" t="str">
        <f>IFERROR(__xludf.DUMMYFUNCTION("""COMPUTED_VALUE"""),"2009")</f>
        <v>2009</v>
      </c>
    </row>
    <row r="436" ht="15.75" customHeight="1">
      <c r="A436" s="9">
        <v>435.0</v>
      </c>
      <c r="B436" s="21" t="str">
        <f>IFERROR(__xludf.DUMMYFUNCTION("""COMPUTED_VALUE"""),"Fish Tank")</f>
        <v>Fish Tank</v>
      </c>
      <c r="C436" s="21" t="str">
        <f>IFERROR(__xludf.DUMMYFUNCTION("""COMPUTED_VALUE"""),"Andrea Arnold")</f>
        <v>Andrea Arnold</v>
      </c>
      <c r="D436" s="21" t="str">
        <f>IFERROR(__xludf.DUMMYFUNCTION("""COMPUTED_VALUE"""),"2009")</f>
        <v>2009</v>
      </c>
    </row>
    <row r="437" ht="15.75" customHeight="1">
      <c r="A437" s="9">
        <v>436.0</v>
      </c>
      <c r="B437" s="21" t="str">
        <f>IFERROR(__xludf.DUMMYFUNCTION("""COMPUTED_VALUE"""),"It's Complicated")</f>
        <v>It's Complicated</v>
      </c>
      <c r="C437" s="21" t="str">
        <f>IFERROR(__xludf.DUMMYFUNCTION("""COMPUTED_VALUE"""),"Nancy Meyers")</f>
        <v>Nancy Meyers</v>
      </c>
      <c r="D437" s="21" t="str">
        <f>IFERROR(__xludf.DUMMYFUNCTION("""COMPUTED_VALUE"""),"2009")</f>
        <v>2009</v>
      </c>
    </row>
    <row r="438" ht="15.75" customHeight="1">
      <c r="A438" s="9">
        <v>437.0</v>
      </c>
      <c r="B438" s="21" t="str">
        <f>IFERROR(__xludf.DUMMYFUNCTION("""COMPUTED_VALUE"""),"Janosik: A True Story")</f>
        <v>Janosik: A True Story</v>
      </c>
      <c r="C438" s="21" t="str">
        <f>IFERROR(__xludf.DUMMYFUNCTION("""COMPUTED_VALUE"""),"Agnieszka Holland and Kasia Adamik")</f>
        <v>Agnieszka Holland and Kasia Adamik</v>
      </c>
      <c r="D438" s="21" t="str">
        <f>IFERROR(__xludf.DUMMYFUNCTION("""COMPUTED_VALUE"""),"2009")</f>
        <v>2009</v>
      </c>
    </row>
    <row r="439" ht="15.75" customHeight="1">
      <c r="A439" s="9">
        <v>438.0</v>
      </c>
      <c r="B439" s="21" t="str">
        <f>IFERROR(__xludf.DUMMYFUNCTION("""COMPUTED_VALUE"""),"Jennifer's Body")</f>
        <v>Jennifer's Body</v>
      </c>
      <c r="C439" s="21" t="str">
        <f>IFERROR(__xludf.DUMMYFUNCTION("""COMPUTED_VALUE"""),"Karyn Kusama")</f>
        <v>Karyn Kusama</v>
      </c>
      <c r="D439" s="21" t="str">
        <f>IFERROR(__xludf.DUMMYFUNCTION("""COMPUTED_VALUE"""),"2009")</f>
        <v>2009</v>
      </c>
    </row>
    <row r="440" ht="15.75" customHeight="1">
      <c r="A440" s="9">
        <v>439.0</v>
      </c>
      <c r="B440" s="21" t="str">
        <f>IFERROR(__xludf.DUMMYFUNCTION("""COMPUTED_VALUE"""),"Julie &amp; Julia")</f>
        <v>Julie &amp; Julia</v>
      </c>
      <c r="C440" s="21" t="str">
        <f>IFERROR(__xludf.DUMMYFUNCTION("""COMPUTED_VALUE"""),"Nora Ephron")</f>
        <v>Nora Ephron</v>
      </c>
      <c r="D440" s="21" t="str">
        <f>IFERROR(__xludf.DUMMYFUNCTION("""COMPUTED_VALUE"""),"2009")</f>
        <v>2009</v>
      </c>
    </row>
    <row r="441" ht="15.75" customHeight="1">
      <c r="A441" s="9">
        <v>440.0</v>
      </c>
      <c r="B441" s="21" t="str">
        <f>IFERROR(__xludf.DUMMYFUNCTION("""COMPUTED_VALUE"""),"Leaving")</f>
        <v>Leaving</v>
      </c>
      <c r="C441" s="21" t="str">
        <f>IFERROR(__xludf.DUMMYFUNCTION("""COMPUTED_VALUE"""),"Catherine Corsini")</f>
        <v>Catherine Corsini</v>
      </c>
      <c r="D441" s="21" t="str">
        <f>IFERROR(__xludf.DUMMYFUNCTION("""COMPUTED_VALUE"""),"2009")</f>
        <v>2009</v>
      </c>
    </row>
    <row r="442" ht="15.75" customHeight="1">
      <c r="A442" s="9">
        <v>441.0</v>
      </c>
      <c r="B442" s="21" t="str">
        <f>IFERROR(__xludf.DUMMYFUNCTION("""COMPUTED_VALUE"""),"Lourdes")</f>
        <v>Lourdes</v>
      </c>
      <c r="C442" s="21" t="str">
        <f>IFERROR(__xludf.DUMMYFUNCTION("""COMPUTED_VALUE"""),"Jessica Hausner")</f>
        <v>Jessica Hausner</v>
      </c>
      <c r="D442" s="21" t="str">
        <f>IFERROR(__xludf.DUMMYFUNCTION("""COMPUTED_VALUE"""),"2009")</f>
        <v>2009</v>
      </c>
    </row>
    <row r="443" ht="15.75" customHeight="1">
      <c r="A443" s="9">
        <v>442.0</v>
      </c>
      <c r="B443" s="21" t="str">
        <f>IFERROR(__xludf.DUMMYFUNCTION("""COMPUTED_VALUE"""),"Motherhood")</f>
        <v>Motherhood</v>
      </c>
      <c r="C443" s="21" t="str">
        <f>IFERROR(__xludf.DUMMYFUNCTION("""COMPUTED_VALUE"""),"Katherine Dieckmann")</f>
        <v>Katherine Dieckmann</v>
      </c>
      <c r="D443" s="21" t="str">
        <f>IFERROR(__xludf.DUMMYFUNCTION("""COMPUTED_VALUE"""),"2009")</f>
        <v>2009</v>
      </c>
    </row>
    <row r="444" ht="15.75" customHeight="1">
      <c r="A444" s="9">
        <v>443.0</v>
      </c>
      <c r="B444" s="21" t="str">
        <f>IFERROR(__xludf.DUMMYFUNCTION("""COMPUTED_VALUE"""),"My Year Without Sex")</f>
        <v>My Year Without Sex</v>
      </c>
      <c r="C444" s="21" t="str">
        <f>IFERROR(__xludf.DUMMYFUNCTION("""COMPUTED_VALUE"""),"Sarah Watt")</f>
        <v>Sarah Watt</v>
      </c>
      <c r="D444" s="21" t="str">
        <f>IFERROR(__xludf.DUMMYFUNCTION("""COMPUTED_VALUE"""),"2009")</f>
        <v>2009</v>
      </c>
    </row>
    <row r="445" ht="15.75" customHeight="1">
      <c r="A445" s="9">
        <v>444.0</v>
      </c>
      <c r="B445" s="21" t="str">
        <f>IFERROR(__xludf.DUMMYFUNCTION("""COMPUTED_VALUE"""),"One Foot Under")</f>
        <v>One Foot Under</v>
      </c>
      <c r="C445" s="21" t="str">
        <f>IFERROR(__xludf.DUMMYFUNCTION("""COMPUTED_VALUE"""),"Johanna Vuoksenmaa")</f>
        <v>Johanna Vuoksenmaa</v>
      </c>
      <c r="D445" s="21" t="str">
        <f>IFERROR(__xludf.DUMMYFUNCTION("""COMPUTED_VALUE"""),"2009")</f>
        <v>2009</v>
      </c>
    </row>
    <row r="446" ht="15.75" customHeight="1">
      <c r="A446" s="9">
        <v>445.0</v>
      </c>
      <c r="B446" s="21" t="str">
        <f>IFERROR(__xludf.DUMMYFUNCTION("""COMPUTED_VALUE"""),"The Private Lives of Pippa Lee")</f>
        <v>The Private Lives of Pippa Lee</v>
      </c>
      <c r="C446" s="21" t="str">
        <f>IFERROR(__xludf.DUMMYFUNCTION("""COMPUTED_VALUE"""),"Rebecca Miller")</f>
        <v>Rebecca Miller</v>
      </c>
      <c r="D446" s="21" t="str">
        <f>IFERROR(__xludf.DUMMYFUNCTION("""COMPUTED_VALUE"""),"2009")</f>
        <v>2009</v>
      </c>
    </row>
    <row r="447" ht="15.75" customHeight="1">
      <c r="A447" s="9">
        <v>446.0</v>
      </c>
      <c r="B447" s="21" t="str">
        <f>IFERROR(__xludf.DUMMYFUNCTION("""COMPUTED_VALUE"""),"Rage")</f>
        <v>Rage</v>
      </c>
      <c r="C447" s="21" t="str">
        <f>IFERROR(__xludf.DUMMYFUNCTION("""COMPUTED_VALUE"""),"Sally Potter")</f>
        <v>Sally Potter</v>
      </c>
      <c r="D447" s="21" t="str">
        <f>IFERROR(__xludf.DUMMYFUNCTION("""COMPUTED_VALUE"""),"2009")</f>
        <v>2009</v>
      </c>
    </row>
    <row r="448" ht="15.75" customHeight="1">
      <c r="A448" s="9">
        <v>447.0</v>
      </c>
      <c r="B448" s="21" t="str">
        <f>IFERROR(__xludf.DUMMYFUNCTION("""COMPUTED_VALUE"""),"Ricky Rapper and the Bicycle Thief")</f>
        <v>Ricky Rapper and the Bicycle Thief</v>
      </c>
      <c r="C448" s="21" t="str">
        <f>IFERROR(__xludf.DUMMYFUNCTION("""COMPUTED_VALUE"""),"Mari Rantasila")</f>
        <v>Mari Rantasila</v>
      </c>
      <c r="D448" s="21" t="str">
        <f>IFERROR(__xludf.DUMMYFUNCTION("""COMPUTED_VALUE"""),"2009")</f>
        <v>2009</v>
      </c>
    </row>
    <row r="449" ht="15.75" customHeight="1">
      <c r="A449" s="9">
        <v>448.0</v>
      </c>
      <c r="B449" s="21" t="str">
        <f>IFERROR(__xludf.DUMMYFUNCTION("""COMPUTED_VALUE"""),"White Material")</f>
        <v>White Material</v>
      </c>
      <c r="C449" s="21" t="str">
        <f>IFERROR(__xludf.DUMMYFUNCTION("""COMPUTED_VALUE"""),"Claire Denis")</f>
        <v>Claire Denis</v>
      </c>
      <c r="D449" s="21" t="str">
        <f>IFERROR(__xludf.DUMMYFUNCTION("""COMPUTED_VALUE"""),"2009")</f>
        <v>2009</v>
      </c>
    </row>
    <row r="450" ht="15.75" customHeight="1">
      <c r="A450" s="9">
        <v>449.0</v>
      </c>
      <c r="B450" s="21" t="str">
        <f>IFERROR(__xludf.DUMMYFUNCTION("""COMPUTED_VALUE"""),"Denizen")</f>
        <v>Denizen</v>
      </c>
      <c r="C450" s="21" t="str">
        <f>IFERROR(__xludf.DUMMYFUNCTION("""COMPUTED_VALUE"""),"J.A. Steel")</f>
        <v>J.A. Steel</v>
      </c>
      <c r="D450" s="21" t="str">
        <f>IFERROR(__xludf.DUMMYFUNCTION("""COMPUTED_VALUE"""),"2010")</f>
        <v>2010</v>
      </c>
    </row>
    <row r="451" ht="15.75" customHeight="1">
      <c r="A451" s="9">
        <v>450.0</v>
      </c>
      <c r="B451" s="21" t="str">
        <f>IFERROR(__xludf.DUMMYFUNCTION("""COMPUTED_VALUE"""),"The Freebie")</f>
        <v>The Freebie</v>
      </c>
      <c r="C451" s="21" t="str">
        <f>IFERROR(__xludf.DUMMYFUNCTION("""COMPUTED_VALUE"""),"Katie Aselton")</f>
        <v>Katie Aselton</v>
      </c>
      <c r="D451" s="21" t="str">
        <f>IFERROR(__xludf.DUMMYFUNCTION("""COMPUTED_VALUE"""),"2010")</f>
        <v>2010</v>
      </c>
    </row>
    <row r="452" ht="15.75" customHeight="1">
      <c r="A452" s="9">
        <v>451.0</v>
      </c>
      <c r="B452" s="21" t="str">
        <f>IFERROR(__xludf.DUMMYFUNCTION("""COMPUTED_VALUE"""),"The High Cost of Living")</f>
        <v>The High Cost of Living</v>
      </c>
      <c r="C452" s="21" t="str">
        <f>IFERROR(__xludf.DUMMYFUNCTION("""COMPUTED_VALUE"""),"Deborah Chow")</f>
        <v>Deborah Chow</v>
      </c>
      <c r="D452" s="21" t="str">
        <f>IFERROR(__xludf.DUMMYFUNCTION("""COMPUTED_VALUE"""),"2010")</f>
        <v>2010</v>
      </c>
    </row>
    <row r="453" ht="15.75" customHeight="1">
      <c r="A453" s="9">
        <v>452.0</v>
      </c>
      <c r="B453" s="21" t="str">
        <f>IFERROR(__xludf.DUMMYFUNCTION("""COMPUTED_VALUE"""),"I Will Follow")</f>
        <v>I Will Follow</v>
      </c>
      <c r="C453" s="21" t="str">
        <f>IFERROR(__xludf.DUMMYFUNCTION("""COMPUTED_VALUE"""),"Ava DuVernay")</f>
        <v>Ava DuVernay</v>
      </c>
      <c r="D453" s="21" t="str">
        <f>IFERROR(__xludf.DUMMYFUNCTION("""COMPUTED_VALUE"""),"2010")</f>
        <v>2010</v>
      </c>
    </row>
    <row r="454" ht="15.75" customHeight="1">
      <c r="A454" s="9">
        <v>453.0</v>
      </c>
      <c r="B454" s="21" t="str">
        <f>IFERROR(__xludf.DUMMYFUNCTION("""COMPUTED_VALUE"""),"The Kids Are All Right")</f>
        <v>The Kids Are All Right</v>
      </c>
      <c r="C454" s="21" t="str">
        <f>IFERROR(__xludf.DUMMYFUNCTION("""COMPUTED_VALUE"""),"Lisa Cholodenko")</f>
        <v>Lisa Cholodenko</v>
      </c>
      <c r="D454" s="21" t="str">
        <f>IFERROR(__xludf.DUMMYFUNCTION("""COMPUTED_VALUE"""),"2010")</f>
        <v>2010</v>
      </c>
    </row>
    <row r="455" ht="15.75" customHeight="1">
      <c r="A455" s="9">
        <v>454.0</v>
      </c>
      <c r="B455" s="21" t="str">
        <f>IFERROR(__xludf.DUMMYFUNCTION("""COMPUTED_VALUE"""),"Nanny McPhee and the Big Bang")</f>
        <v>Nanny McPhee and the Big Bang</v>
      </c>
      <c r="C455" s="21" t="str">
        <f>IFERROR(__xludf.DUMMYFUNCTION("""COMPUTED_VALUE"""),"Susanna White")</f>
        <v>Susanna White</v>
      </c>
      <c r="D455" s="21" t="str">
        <f>IFERROR(__xludf.DUMMYFUNCTION("""COMPUTED_VALUE"""),"2010")</f>
        <v>2010</v>
      </c>
    </row>
    <row r="456" ht="15.75" customHeight="1">
      <c r="A456" s="9">
        <v>455.0</v>
      </c>
      <c r="B456" s="21" t="str">
        <f>IFERROR(__xludf.DUMMYFUNCTION("""COMPUTED_VALUE"""),"Night Catches Us")</f>
        <v>Night Catches Us</v>
      </c>
      <c r="C456" s="21" t="str">
        <f>IFERROR(__xludf.DUMMYFUNCTION("""COMPUTED_VALUE"""),"Tanya Hamilton")</f>
        <v>Tanya Hamilton</v>
      </c>
      <c r="D456" s="21" t="str">
        <f>IFERROR(__xludf.DUMMYFUNCTION("""COMPUTED_VALUE"""),"2010")</f>
        <v>2010</v>
      </c>
      <c r="E456" s="21" t="s">
        <v>685</v>
      </c>
      <c r="F456" s="21" t="s">
        <v>685</v>
      </c>
    </row>
    <row r="457" ht="15.75" customHeight="1">
      <c r="A457" s="9">
        <v>456.0</v>
      </c>
      <c r="B457" s="21" t="str">
        <f>IFERROR(__xludf.DUMMYFUNCTION("""COMPUTED_VALUE"""),"Please Give")</f>
        <v>Please Give</v>
      </c>
      <c r="C457" s="21" t="str">
        <f>IFERROR(__xludf.DUMMYFUNCTION("""COMPUTED_VALUE"""),"Nicole Holofcener")</f>
        <v>Nicole Holofcener</v>
      </c>
      <c r="D457" s="21" t="str">
        <f>IFERROR(__xludf.DUMMYFUNCTION("""COMPUTED_VALUE"""),"2010")</f>
        <v>2010</v>
      </c>
    </row>
    <row r="458" ht="15.75" customHeight="1">
      <c r="A458" s="9">
        <v>457.0</v>
      </c>
      <c r="B458" s="21" t="str">
        <f>IFERROR(__xludf.DUMMYFUNCTION("""COMPUTED_VALUE"""),"The Runaways")</f>
        <v>The Runaways</v>
      </c>
      <c r="C458" s="21" t="str">
        <f>IFERROR(__xludf.DUMMYFUNCTION("""COMPUTED_VALUE"""),"Floria Sigismondi")</f>
        <v>Floria Sigismondi</v>
      </c>
      <c r="D458" s="21" t="str">
        <f>IFERROR(__xludf.DUMMYFUNCTION("""COMPUTED_VALUE"""),"2010")</f>
        <v>2010</v>
      </c>
    </row>
    <row r="459" ht="15.75" customHeight="1">
      <c r="A459" s="9">
        <v>458.0</v>
      </c>
      <c r="B459" s="21" t="str">
        <f>IFERROR(__xludf.DUMMYFUNCTION("""COMPUTED_VALUE"""),"Somewhere")</f>
        <v>Somewhere</v>
      </c>
      <c r="C459" s="21" t="str">
        <f>IFERROR(__xludf.DUMMYFUNCTION("""COMPUTED_VALUE"""),"Sofia Coppola")</f>
        <v>Sofia Coppola</v>
      </c>
      <c r="D459" s="21" t="str">
        <f>IFERROR(__xludf.DUMMYFUNCTION("""COMPUTED_VALUE"""),"2010")</f>
        <v>2010</v>
      </c>
    </row>
    <row r="460" ht="15.75" customHeight="1">
      <c r="A460" s="9">
        <v>459.0</v>
      </c>
      <c r="B460" s="21" t="str">
        <f>IFERROR(__xludf.DUMMYFUNCTION("""COMPUTED_VALUE"""),"The Tempest")</f>
        <v>The Tempest</v>
      </c>
      <c r="C460" s="21" t="str">
        <f>IFERROR(__xludf.DUMMYFUNCTION("""COMPUTED_VALUE"""),"Julie Taymor")</f>
        <v>Julie Taymor</v>
      </c>
      <c r="D460" s="21" t="str">
        <f>IFERROR(__xludf.DUMMYFUNCTION("""COMPUTED_VALUE"""),"2010")</f>
        <v>2010</v>
      </c>
    </row>
    <row r="461" ht="15.75" customHeight="1">
      <c r="A461" s="9">
        <v>460.0</v>
      </c>
      <c r="B461" s="21" t="str">
        <f>IFERROR(__xludf.DUMMYFUNCTION("""COMPUTED_VALUE"""),"The Whistleblower")</f>
        <v>The Whistleblower</v>
      </c>
      <c r="C461" s="21" t="str">
        <f>IFERROR(__xludf.DUMMYFUNCTION("""COMPUTED_VALUE"""),"Larysa Kondracki")</f>
        <v>Larysa Kondracki</v>
      </c>
      <c r="D461" s="21" t="str">
        <f>IFERROR(__xludf.DUMMYFUNCTION("""COMPUTED_VALUE"""),"2010")</f>
        <v>2010</v>
      </c>
    </row>
    <row r="462" ht="15.75" customHeight="1">
      <c r="A462" s="9">
        <v>461.0</v>
      </c>
      <c r="B462" s="21" t="str">
        <f>IFERROR(__xludf.DUMMYFUNCTION("""COMPUTED_VALUE"""),"Winter's Bone")</f>
        <v>Winter's Bone</v>
      </c>
      <c r="C462" s="21" t="str">
        <f>IFERROR(__xludf.DUMMYFUNCTION("""COMPUTED_VALUE"""),"Debra Granik")</f>
        <v>Debra Granik</v>
      </c>
      <c r="D462" s="21" t="str">
        <f>IFERROR(__xludf.DUMMYFUNCTION("""COMPUTED_VALUE"""),"2010")</f>
        <v>2010</v>
      </c>
    </row>
    <row r="463" ht="15.75" customHeight="1">
      <c r="A463" s="9">
        <v>462.0</v>
      </c>
      <c r="B463" s="21" t="str">
        <f>IFERROR(__xludf.DUMMYFUNCTION("""COMPUTED_VALUE"""),"A Little Bit of Heaven")</f>
        <v>A Little Bit of Heaven</v>
      </c>
      <c r="C463" s="21" t="str">
        <f>IFERROR(__xludf.DUMMYFUNCTION("""COMPUTED_VALUE"""),"Nicole Kassell")</f>
        <v>Nicole Kassell</v>
      </c>
      <c r="D463" s="21" t="str">
        <f>IFERROR(__xludf.DUMMYFUNCTION("""COMPUTED_VALUE"""),"2011")</f>
        <v>2011</v>
      </c>
    </row>
    <row r="464" ht="15.75" customHeight="1">
      <c r="A464" s="9">
        <v>463.0</v>
      </c>
      <c r="B464" s="21" t="str">
        <f>IFERROR(__xludf.DUMMYFUNCTION("""COMPUTED_VALUE"""),"Almayer's Folly (La Folie Almayer)")</f>
        <v>Almayer's Folly (La Folie Almayer)</v>
      </c>
      <c r="C464" s="21" t="str">
        <f>IFERROR(__xludf.DUMMYFUNCTION("""COMPUTED_VALUE"""),"Chantal Akerman")</f>
        <v>Chantal Akerman</v>
      </c>
      <c r="D464" s="21" t="str">
        <f>IFERROR(__xludf.DUMMYFUNCTION("""COMPUTED_VALUE"""),"2011")</f>
        <v>2011</v>
      </c>
    </row>
    <row r="465" ht="15.75" customHeight="1">
      <c r="A465" s="9">
        <v>464.0</v>
      </c>
      <c r="B465" s="21" t="str">
        <f>IFERROR(__xludf.DUMMYFUNCTION("""COMPUTED_VALUE"""),"The Fatherless")</f>
        <v>The Fatherless</v>
      </c>
      <c r="C465" s="21" t="str">
        <f>IFERROR(__xludf.DUMMYFUNCTION("""COMPUTED_VALUE"""),"Marie Kreutzer")</f>
        <v>Marie Kreutzer</v>
      </c>
      <c r="D465" s="21" t="str">
        <f>IFERROR(__xludf.DUMMYFUNCTION("""COMPUTED_VALUE"""),"2011")</f>
        <v>2011</v>
      </c>
    </row>
    <row r="466" ht="15.75" customHeight="1">
      <c r="A466" s="9">
        <v>465.0</v>
      </c>
      <c r="B466" s="21" t="str">
        <f>IFERROR(__xludf.DUMMYFUNCTION("""COMPUTED_VALUE"""),"Goodbye First Love")</f>
        <v>Goodbye First Love</v>
      </c>
      <c r="C466" s="21" t="str">
        <f>IFERROR(__xludf.DUMMYFUNCTION("""COMPUTED_VALUE"""),"Mia Hansen-Løve")</f>
        <v>Mia Hansen-Løve</v>
      </c>
      <c r="D466" s="21" t="str">
        <f>IFERROR(__xludf.DUMMYFUNCTION("""COMPUTED_VALUE"""),"2011")</f>
        <v>2011</v>
      </c>
    </row>
    <row r="467" ht="15.75" customHeight="1">
      <c r="A467" s="9">
        <v>466.0</v>
      </c>
      <c r="B467" s="21" t="str">
        <f>IFERROR(__xludf.DUMMYFUNCTION("""COMPUTED_VALUE"""),"Higher Ground")</f>
        <v>Higher Ground</v>
      </c>
      <c r="C467" s="21" t="str">
        <f>IFERROR(__xludf.DUMMYFUNCTION("""COMPUTED_VALUE"""),"Vera Farmiga")</f>
        <v>Vera Farmiga</v>
      </c>
      <c r="D467" s="21" t="str">
        <f>IFERROR(__xludf.DUMMYFUNCTION("""COMPUTED_VALUE"""),"2011")</f>
        <v>2011</v>
      </c>
    </row>
    <row r="468" ht="15.75" customHeight="1">
      <c r="A468" s="9">
        <v>467.0</v>
      </c>
      <c r="B468" s="21" t="str">
        <f>IFERROR(__xludf.DUMMYFUNCTION("""COMPUTED_VALUE"""),"Hysteria")</f>
        <v>Hysteria</v>
      </c>
      <c r="C468" s="21" t="str">
        <f>IFERROR(__xludf.DUMMYFUNCTION("""COMPUTED_VALUE"""),"Tanya Wexler")</f>
        <v>Tanya Wexler</v>
      </c>
      <c r="D468" s="21" t="str">
        <f>IFERROR(__xludf.DUMMYFUNCTION("""COMPUTED_VALUE"""),"2011")</f>
        <v>2011</v>
      </c>
    </row>
    <row r="469" ht="15.75" customHeight="1">
      <c r="A469" s="9">
        <v>468.0</v>
      </c>
      <c r="B469" s="21" t="str">
        <f>IFERROR(__xludf.DUMMYFUNCTION("""COMPUTED_VALUE"""),"In Darkness (W ciemności)")</f>
        <v>In Darkness (W ciemności)</v>
      </c>
      <c r="C469" s="21" t="str">
        <f>IFERROR(__xludf.DUMMYFUNCTION("""COMPUTED_VALUE"""),"Agnieszka Holland")</f>
        <v>Agnieszka Holland</v>
      </c>
      <c r="D469" s="21" t="str">
        <f>IFERROR(__xludf.DUMMYFUNCTION("""COMPUTED_VALUE"""),"2011")</f>
        <v>2011</v>
      </c>
    </row>
    <row r="470" ht="15.75" customHeight="1">
      <c r="A470" s="9">
        <v>469.0</v>
      </c>
      <c r="B470" s="21" t="str">
        <f>IFERROR(__xludf.DUMMYFUNCTION("""COMPUTED_VALUE"""),"In the Land of Blood and Honey")</f>
        <v>In the Land of Blood and Honey</v>
      </c>
      <c r="C470" s="21" t="str">
        <f>IFERROR(__xludf.DUMMYFUNCTION("""COMPUTED_VALUE"""),"Angelina Jolie")</f>
        <v>Angelina Jolie</v>
      </c>
      <c r="D470" s="21" t="str">
        <f>IFERROR(__xludf.DUMMYFUNCTION("""COMPUTED_VALUE"""),"2011")</f>
        <v>2011</v>
      </c>
    </row>
    <row r="471" ht="15.75" customHeight="1">
      <c r="A471" s="9">
        <v>470.0</v>
      </c>
      <c r="B471" s="21" t="str">
        <f>IFERROR(__xludf.DUMMYFUNCTION("""COMPUTED_VALUE"""),"The Loneliest Planet")</f>
        <v>The Loneliest Planet</v>
      </c>
      <c r="C471" s="21" t="str">
        <f>IFERROR(__xludf.DUMMYFUNCTION("""COMPUTED_VALUE"""),"Julia Loktev")</f>
        <v>Julia Loktev</v>
      </c>
      <c r="D471" s="21" t="str">
        <f>IFERROR(__xludf.DUMMYFUNCTION("""COMPUTED_VALUE"""),"2011")</f>
        <v>2011</v>
      </c>
    </row>
    <row r="472" ht="15.75" customHeight="1">
      <c r="A472" s="9">
        <v>471.0</v>
      </c>
      <c r="B472" s="21" t="str">
        <f>IFERROR(__xludf.DUMMYFUNCTION("""COMPUTED_VALUE"""),"The Moth Diaries")</f>
        <v>The Moth Diaries</v>
      </c>
      <c r="C472" s="21" t="str">
        <f>IFERROR(__xludf.DUMMYFUNCTION("""COMPUTED_VALUE"""),"Mary Harron")</f>
        <v>Mary Harron</v>
      </c>
      <c r="D472" s="21" t="str">
        <f>IFERROR(__xludf.DUMMYFUNCTION("""COMPUTED_VALUE"""),"2011")</f>
        <v>2011</v>
      </c>
    </row>
    <row r="473" ht="15.75" customHeight="1">
      <c r="A473" s="9">
        <v>472.0</v>
      </c>
      <c r="B473" s="21" t="str">
        <f>IFERROR(__xludf.DUMMYFUNCTION("""COMPUTED_VALUE"""),"The Off Hours")</f>
        <v>The Off Hours</v>
      </c>
      <c r="C473" s="21" t="str">
        <f>IFERROR(__xludf.DUMMYFUNCTION("""COMPUTED_VALUE"""),"Megan Griffiths")</f>
        <v>Megan Griffiths</v>
      </c>
      <c r="D473" s="21" t="str">
        <f>IFERROR(__xludf.DUMMYFUNCTION("""COMPUTED_VALUE"""),"2011")</f>
        <v>2011</v>
      </c>
    </row>
    <row r="474" ht="15.75" customHeight="1">
      <c r="A474" s="9">
        <v>473.0</v>
      </c>
      <c r="B474" s="21" t="str">
        <f>IFERROR(__xludf.DUMMYFUNCTION("""COMPUTED_VALUE"""),"One Day")</f>
        <v>One Day</v>
      </c>
      <c r="C474" s="21" t="str">
        <f>IFERROR(__xludf.DUMMYFUNCTION("""COMPUTED_VALUE"""),"Lone Scherfig")</f>
        <v>Lone Scherfig</v>
      </c>
      <c r="D474" s="21" t="str">
        <f>IFERROR(__xludf.DUMMYFUNCTION("""COMPUTED_VALUE"""),"2011")</f>
        <v>2011</v>
      </c>
    </row>
    <row r="475" ht="15.75" customHeight="1">
      <c r="A475" s="9">
        <v>474.0</v>
      </c>
      <c r="B475" s="21" t="str">
        <f>IFERROR(__xludf.DUMMYFUNCTION("""COMPUTED_VALUE"""),"Pariah")</f>
        <v>Pariah</v>
      </c>
      <c r="C475" s="21" t="str">
        <f>IFERROR(__xludf.DUMMYFUNCTION("""COMPUTED_VALUE"""),"Dee Rees")</f>
        <v>Dee Rees</v>
      </c>
      <c r="D475" s="21" t="str">
        <f>IFERROR(__xludf.DUMMYFUNCTION("""COMPUTED_VALUE"""),"2011")</f>
        <v>2011</v>
      </c>
    </row>
    <row r="476" ht="15.75" customHeight="1">
      <c r="A476" s="9">
        <v>475.0</v>
      </c>
      <c r="B476" s="21" t="str">
        <f>IFERROR(__xludf.DUMMYFUNCTION("""COMPUTED_VALUE"""),"Red Riding Hood")</f>
        <v>Red Riding Hood</v>
      </c>
      <c r="C476" s="21" t="str">
        <f>IFERROR(__xludf.DUMMYFUNCTION("""COMPUTED_VALUE"""),"Catherine Hardwicke")</f>
        <v>Catherine Hardwicke</v>
      </c>
      <c r="D476" s="21" t="str">
        <f>IFERROR(__xludf.DUMMYFUNCTION("""COMPUTED_VALUE"""),"2011")</f>
        <v>2011</v>
      </c>
    </row>
    <row r="477" ht="15.75" customHeight="1">
      <c r="A477" s="9">
        <v>476.0</v>
      </c>
      <c r="B477" s="21" t="str">
        <f>IFERROR(__xludf.DUMMYFUNCTION("""COMPUTED_VALUE"""),"Return")</f>
        <v>Return</v>
      </c>
      <c r="C477" s="21" t="str">
        <f>IFERROR(__xludf.DUMMYFUNCTION("""COMPUTED_VALUE"""),"Liza Johnson")</f>
        <v>Liza Johnson</v>
      </c>
      <c r="D477" s="21" t="str">
        <f>IFERROR(__xludf.DUMMYFUNCTION("""COMPUTED_VALUE"""),"2011")</f>
        <v>2011</v>
      </c>
    </row>
    <row r="478" ht="15.75" customHeight="1">
      <c r="A478" s="9">
        <v>477.0</v>
      </c>
      <c r="B478" s="21" t="str">
        <f>IFERROR(__xludf.DUMMYFUNCTION("""COMPUTED_VALUE"""),"Sengadal")</f>
        <v>Sengadal</v>
      </c>
      <c r="C478" s="21" t="str">
        <f>IFERROR(__xludf.DUMMYFUNCTION("""COMPUTED_VALUE"""),"Leena Manimekalai")</f>
        <v>Leena Manimekalai</v>
      </c>
      <c r="D478" s="21" t="str">
        <f>IFERROR(__xludf.DUMMYFUNCTION("""COMPUTED_VALUE"""),"2011")</f>
        <v>2011</v>
      </c>
    </row>
    <row r="479" ht="15.75" customHeight="1">
      <c r="A479" s="9">
        <v>478.0</v>
      </c>
      <c r="B479" s="21" t="str">
        <f>IFERROR(__xludf.DUMMYFUNCTION("""COMPUTED_VALUE"""),"The Storage")</f>
        <v>The Storage</v>
      </c>
      <c r="C479" s="21" t="str">
        <f>IFERROR(__xludf.DUMMYFUNCTION("""COMPUTED_VALUE"""),"Taru Mäkelä")</f>
        <v>Taru Mäkelä</v>
      </c>
      <c r="D479" s="21" t="str">
        <f>IFERROR(__xludf.DUMMYFUNCTION("""COMPUTED_VALUE"""),"2011")</f>
        <v>2011</v>
      </c>
    </row>
    <row r="480" ht="15.75" customHeight="1">
      <c r="A480" s="9">
        <v>479.0</v>
      </c>
      <c r="B480" s="21" t="str">
        <f>IFERROR(__xludf.DUMMYFUNCTION("""COMPUTED_VALUE"""),"Take This Waltz")</f>
        <v>Take This Waltz</v>
      </c>
      <c r="C480" s="21" t="str">
        <f>IFERROR(__xludf.DUMMYFUNCTION("""COMPUTED_VALUE"""),"Sarah Polley")</f>
        <v>Sarah Polley</v>
      </c>
      <c r="D480" s="21" t="str">
        <f>IFERROR(__xludf.DUMMYFUNCTION("""COMPUTED_VALUE"""),"2011")</f>
        <v>2011</v>
      </c>
    </row>
    <row r="481" ht="15.75" customHeight="1">
      <c r="A481" s="9">
        <v>480.0</v>
      </c>
      <c r="B481" s="21" t="str">
        <f>IFERROR(__xludf.DUMMYFUNCTION("""COMPUTED_VALUE"""),"Tomboy")</f>
        <v>Tomboy</v>
      </c>
      <c r="C481" s="21" t="str">
        <f>IFERROR(__xludf.DUMMYFUNCTION("""COMPUTED_VALUE"""),"Céline Sciamma")</f>
        <v>Céline Sciamma</v>
      </c>
      <c r="D481" s="21" t="str">
        <f>IFERROR(__xludf.DUMMYFUNCTION("""COMPUTED_VALUE"""),"2011")</f>
        <v>2011</v>
      </c>
    </row>
    <row r="482" ht="15.75" customHeight="1">
      <c r="A482" s="9">
        <v>481.0</v>
      </c>
      <c r="B482" s="21" t="str">
        <f>IFERROR(__xludf.DUMMYFUNCTION("""COMPUTED_VALUE"""),"Two Days")</f>
        <v>Two Days</v>
      </c>
      <c r="C482" s="21" t="str">
        <f>IFERROR(__xludf.DUMMYFUNCTION("""COMPUTED_VALUE"""),"Avdotya Smirnova")</f>
        <v>Avdotya Smirnova</v>
      </c>
      <c r="D482" s="21" t="str">
        <f>IFERROR(__xludf.DUMMYFUNCTION("""COMPUTED_VALUE"""),"2011")</f>
        <v>2011</v>
      </c>
    </row>
    <row r="483" ht="15.75" customHeight="1">
      <c r="A483" s="9">
        <v>482.0</v>
      </c>
      <c r="B483" s="21" t="str">
        <f>IFERROR(__xludf.DUMMYFUNCTION("""COMPUTED_VALUE"""),"We Need to Talk About Kevin")</f>
        <v>We Need to Talk About Kevin</v>
      </c>
      <c r="C483" s="21" t="str">
        <f>IFERROR(__xludf.DUMMYFUNCTION("""COMPUTED_VALUE"""),"Lynne Ramsay")</f>
        <v>Lynne Ramsay</v>
      </c>
      <c r="D483" s="21" t="str">
        <f>IFERROR(__xludf.DUMMYFUNCTION("""COMPUTED_VALUE"""),"2011")</f>
        <v>2011</v>
      </c>
    </row>
    <row r="484" ht="15.75" customHeight="1">
      <c r="A484" s="9">
        <v>483.0</v>
      </c>
      <c r="B484" s="21" t="str">
        <f>IFERROR(__xludf.DUMMYFUNCTION("""COMPUTED_VALUE"""),"Wuthering Heights")</f>
        <v>Wuthering Heights</v>
      </c>
      <c r="C484" s="21" t="str">
        <f>IFERROR(__xludf.DUMMYFUNCTION("""COMPUTED_VALUE"""),"Andrea Arnold")</f>
        <v>Andrea Arnold</v>
      </c>
      <c r="D484" s="21" t="str">
        <f>IFERROR(__xludf.DUMMYFUNCTION("""COMPUTED_VALUE"""),"2011")</f>
        <v>2011</v>
      </c>
    </row>
    <row r="485" ht="15.75" customHeight="1">
      <c r="A485" s="9">
        <v>484.0</v>
      </c>
      <c r="B485" s="21" t="str">
        <f>IFERROR(__xludf.DUMMYFUNCTION("""COMPUTED_VALUE"""),"Yelling to the Sky")</f>
        <v>Yelling to the Sky</v>
      </c>
      <c r="C485" s="21" t="str">
        <f>IFERROR(__xludf.DUMMYFUNCTION("""COMPUTED_VALUE"""),"Victoria Mahoney")</f>
        <v>Victoria Mahoney</v>
      </c>
      <c r="D485" s="21" t="str">
        <f>IFERROR(__xludf.DUMMYFUNCTION("""COMPUTED_VALUE"""),"2011")</f>
        <v>2011</v>
      </c>
    </row>
    <row r="486" ht="15.75" customHeight="1">
      <c r="A486" s="9">
        <v>485.0</v>
      </c>
      <c r="B486" s="21" t="str">
        <f>IFERROR(__xludf.DUMMYFUNCTION("""COMPUTED_VALUE"""),"Your Sister's Sister")</f>
        <v>Your Sister's Sister</v>
      </c>
      <c r="C486" s="21" t="str">
        <f>IFERROR(__xludf.DUMMYFUNCTION("""COMPUTED_VALUE"""),"Lynn Shelton")</f>
        <v>Lynn Shelton</v>
      </c>
      <c r="D486" s="21" t="str">
        <f>IFERROR(__xludf.DUMMYFUNCTION("""COMPUTED_VALUE"""),"2011")</f>
        <v>2011</v>
      </c>
    </row>
    <row r="487" ht="15.75" customHeight="1">
      <c r="A487" s="9">
        <v>486.0</v>
      </c>
      <c r="B487" s="21" t="str">
        <f>IFERROR(__xludf.DUMMYFUNCTION("""COMPUTED_VALUE"""),"Black Rock")</f>
        <v>Black Rock</v>
      </c>
      <c r="C487" s="21" t="str">
        <f>IFERROR(__xludf.DUMMYFUNCTION("""COMPUTED_VALUE"""),"Katie Aselton")</f>
        <v>Katie Aselton</v>
      </c>
      <c r="D487" s="21" t="str">
        <f>IFERROR(__xludf.DUMMYFUNCTION("""COMPUTED_VALUE"""),"2012")</f>
        <v>2012</v>
      </c>
    </row>
    <row r="488" ht="15.75" customHeight="1">
      <c r="A488" s="9">
        <v>487.0</v>
      </c>
      <c r="B488" s="21" t="str">
        <f>IFERROR(__xludf.DUMMYFUNCTION("""COMPUTED_VALUE"""),"Breaking the Girls")</f>
        <v>Breaking the Girls</v>
      </c>
      <c r="C488" s="21" t="str">
        <f>IFERROR(__xludf.DUMMYFUNCTION("""COMPUTED_VALUE"""),"Jamie Babbit")</f>
        <v>Jamie Babbit</v>
      </c>
      <c r="D488" s="21" t="str">
        <f>IFERROR(__xludf.DUMMYFUNCTION("""COMPUTED_VALUE"""),"2012")</f>
        <v>2012</v>
      </c>
    </row>
    <row r="489" ht="15.75" customHeight="1">
      <c r="A489" s="9">
        <v>488.0</v>
      </c>
      <c r="B489" s="21" t="str">
        <f>IFERROR(__xludf.DUMMYFUNCTION("""COMPUTED_VALUE"""),"Chained")</f>
        <v>Chained</v>
      </c>
      <c r="C489" s="21" t="str">
        <f>IFERROR(__xludf.DUMMYFUNCTION("""COMPUTED_VALUE"""),"Jennifer Lynch")</f>
        <v>Jennifer Lynch</v>
      </c>
      <c r="D489" s="21" t="str">
        <f>IFERROR(__xludf.DUMMYFUNCTION("""COMPUTED_VALUE"""),"2012")</f>
        <v>2012</v>
      </c>
    </row>
    <row r="490" ht="15.75" customHeight="1">
      <c r="A490" s="9">
        <v>489.0</v>
      </c>
      <c r="B490" s="21" t="str">
        <f>IFERROR(__xludf.DUMMYFUNCTION("""COMPUTED_VALUE"""),"Eden")</f>
        <v>Eden</v>
      </c>
      <c r="C490" s="21" t="str">
        <f>IFERROR(__xludf.DUMMYFUNCTION("""COMPUTED_VALUE"""),"Megan Griffiths")</f>
        <v>Megan Griffiths</v>
      </c>
      <c r="D490" s="21" t="str">
        <f>IFERROR(__xludf.DUMMYFUNCTION("""COMPUTED_VALUE"""),"2012")</f>
        <v>2012</v>
      </c>
    </row>
    <row r="491" ht="15.75" customHeight="1">
      <c r="A491" s="9">
        <v>490.0</v>
      </c>
      <c r="B491" s="21" t="str">
        <f>IFERROR(__xludf.DUMMYFUNCTION("""COMPUTED_VALUE"""),"Frenemies")</f>
        <v>Frenemies</v>
      </c>
      <c r="C491" s="21" t="str">
        <f>IFERROR(__xludf.DUMMYFUNCTION("""COMPUTED_VALUE"""),"Daisy von Scherler Mayer")</f>
        <v>Daisy von Scherler Mayer</v>
      </c>
      <c r="D491" s="21" t="str">
        <f>IFERROR(__xludf.DUMMYFUNCTION("""COMPUTED_VALUE"""),"2012")</f>
        <v>2012</v>
      </c>
    </row>
    <row r="492" ht="15.75" customHeight="1">
      <c r="A492" s="9">
        <v>491.0</v>
      </c>
      <c r="B492" s="21" t="str">
        <f>IFERROR(__xludf.DUMMYFUNCTION("""COMPUTED_VALUE"""),"Ginger &amp; Rosa")</f>
        <v>Ginger &amp; Rosa</v>
      </c>
      <c r="C492" s="21" t="str">
        <f>IFERROR(__xludf.DUMMYFUNCTION("""COMPUTED_VALUE"""),"Sally Potter")</f>
        <v>Sally Potter</v>
      </c>
      <c r="D492" s="21" t="str">
        <f>IFERROR(__xludf.DUMMYFUNCTION("""COMPUTED_VALUE"""),"2012")</f>
        <v>2012</v>
      </c>
    </row>
    <row r="493" ht="15.75" customHeight="1">
      <c r="A493" s="9">
        <v>492.0</v>
      </c>
      <c r="B493" s="21" t="str">
        <f>IFERROR(__xludf.DUMMYFUNCTION("""COMPUTED_VALUE"""),"Kiss of the Damned")</f>
        <v>Kiss of the Damned</v>
      </c>
      <c r="C493" s="21" t="str">
        <f>IFERROR(__xludf.DUMMYFUNCTION("""COMPUTED_VALUE"""),"Alexandra Cassavetes")</f>
        <v>Alexandra Cassavetes</v>
      </c>
      <c r="D493" s="21" t="str">
        <f>IFERROR(__xludf.DUMMYFUNCTION("""COMPUTED_VALUE"""),"2012")</f>
        <v>2012</v>
      </c>
    </row>
    <row r="494" ht="15.75" customHeight="1">
      <c r="A494" s="9">
        <v>493.0</v>
      </c>
      <c r="B494" s="21" t="str">
        <f>IFERROR(__xludf.DUMMYFUNCTION("""COMPUTED_VALUE"""),"Middle of Nowhere")</f>
        <v>Middle of Nowhere</v>
      </c>
      <c r="C494" s="21" t="str">
        <f>IFERROR(__xludf.DUMMYFUNCTION("""COMPUTED_VALUE"""),"Ava DuVernay")</f>
        <v>Ava DuVernay</v>
      </c>
      <c r="D494" s="21" t="str">
        <f>IFERROR(__xludf.DUMMYFUNCTION("""COMPUTED_VALUE"""),"2012")</f>
        <v>2012</v>
      </c>
    </row>
    <row r="495" ht="15.75" customHeight="1">
      <c r="A495" s="9">
        <v>494.0</v>
      </c>
      <c r="B495" s="21" t="str">
        <f>IFERROR(__xludf.DUMMYFUNCTION("""COMPUTED_VALUE"""),"The Reluctant Fundamentalist")</f>
        <v>The Reluctant Fundamentalist</v>
      </c>
      <c r="C495" s="21" t="str">
        <f>IFERROR(__xludf.DUMMYFUNCTION("""COMPUTED_VALUE"""),"Mira Nair")</f>
        <v>Mira Nair</v>
      </c>
      <c r="D495" s="21" t="str">
        <f>IFERROR(__xludf.DUMMYFUNCTION("""COMPUTED_VALUE"""),"2012")</f>
        <v>2012</v>
      </c>
    </row>
    <row r="496" ht="15.75" customHeight="1">
      <c r="A496" s="9">
        <v>495.0</v>
      </c>
      <c r="B496" s="21" t="str">
        <f>IFERROR(__xludf.DUMMYFUNCTION("""COMPUTED_VALUE"""),"Saving Face")</f>
        <v>Saving Face</v>
      </c>
      <c r="C496" s="21" t="str">
        <f>IFERROR(__xludf.DUMMYFUNCTION("""COMPUTED_VALUE"""),"Sharmeen Obaid-Chinoy")</f>
        <v>Sharmeen Obaid-Chinoy</v>
      </c>
      <c r="D496" s="21" t="str">
        <f>IFERROR(__xludf.DUMMYFUNCTION("""COMPUTED_VALUE"""),"2012")</f>
        <v>2012</v>
      </c>
    </row>
    <row r="497" ht="15.75" customHeight="1">
      <c r="A497" s="9">
        <v>496.0</v>
      </c>
      <c r="B497" s="21" t="str">
        <f>IFERROR(__xludf.DUMMYFUNCTION("""COMPUTED_VALUE"""),"Seeking a Friend for the End of the World")</f>
        <v>Seeking a Friend for the End of the World</v>
      </c>
      <c r="C497" s="21" t="str">
        <f>IFERROR(__xludf.DUMMYFUNCTION("""COMPUTED_VALUE"""),"Lorene Scafaria")</f>
        <v>Lorene Scafaria</v>
      </c>
      <c r="D497" s="21" t="str">
        <f>IFERROR(__xludf.DUMMYFUNCTION("""COMPUTED_VALUE"""),"2012")</f>
        <v>2012</v>
      </c>
    </row>
    <row r="498" ht="15.75" customHeight="1">
      <c r="A498" s="9">
        <v>497.0</v>
      </c>
      <c r="B498" s="21" t="str">
        <f>IFERROR(__xludf.DUMMYFUNCTION("""COMPUTED_VALUE"""),"Stories We Tell")</f>
        <v>Stories We Tell</v>
      </c>
      <c r="C498" s="21" t="str">
        <f>IFERROR(__xludf.DUMMYFUNCTION("""COMPUTED_VALUE"""),"Sarah Polley")</f>
        <v>Sarah Polley</v>
      </c>
      <c r="D498" s="21" t="str">
        <f>IFERROR(__xludf.DUMMYFUNCTION("""COMPUTED_VALUE"""),"2012")</f>
        <v>2012</v>
      </c>
    </row>
    <row r="499" ht="15.75" customHeight="1">
      <c r="A499" s="9">
        <v>498.0</v>
      </c>
      <c r="B499" s="21" t="str">
        <f>IFERROR(__xludf.DUMMYFUNCTION("""COMPUTED_VALUE"""),"Three World")</f>
        <v>Three World</v>
      </c>
      <c r="C499" s="21" t="str">
        <f>IFERROR(__xludf.DUMMYFUNCTION("""COMPUTED_VALUE"""),"Catherine Corsini")</f>
        <v>Catherine Corsini</v>
      </c>
      <c r="D499" s="21" t="str">
        <f>IFERROR(__xludf.DUMMYFUNCTION("""COMPUTED_VALUE"""),"2012")</f>
        <v>2012</v>
      </c>
    </row>
    <row r="500" ht="15.75" customHeight="1">
      <c r="A500" s="9">
        <v>499.0</v>
      </c>
      <c r="B500" s="21" t="str">
        <f>IFERROR(__xludf.DUMMYFUNCTION("""COMPUTED_VALUE"""),"Vamps")</f>
        <v>Vamps</v>
      </c>
      <c r="C500" s="21" t="str">
        <f>IFERROR(__xludf.DUMMYFUNCTION("""COMPUTED_VALUE"""),"Amy Heckerling")</f>
        <v>Amy Heckerling</v>
      </c>
      <c r="D500" s="21" t="str">
        <f>IFERROR(__xludf.DUMMYFUNCTION("""COMPUTED_VALUE"""),"2012")</f>
        <v>2012</v>
      </c>
    </row>
    <row r="501" ht="15.75" customHeight="1">
      <c r="A501" s="9">
        <v>500.0</v>
      </c>
      <c r="B501" s="21" t="str">
        <f>IFERROR(__xludf.DUMMYFUNCTION("""COMPUTED_VALUE"""),"Wadjda")</f>
        <v>Wadjda</v>
      </c>
      <c r="C501" s="21" t="str">
        <f>IFERROR(__xludf.DUMMYFUNCTION("""COMPUTED_VALUE"""),"Haifaa al-Mansour")</f>
        <v>Haifaa al-Mansour</v>
      </c>
      <c r="D501" s="21" t="str">
        <f>IFERROR(__xludf.DUMMYFUNCTION("""COMPUTED_VALUE"""),"2012")</f>
        <v>2012</v>
      </c>
    </row>
    <row r="502" ht="15.75" customHeight="1">
      <c r="A502" s="9">
        <v>501.0</v>
      </c>
      <c r="B502" s="21" t="str">
        <f>IFERROR(__xludf.DUMMYFUNCTION("""COMPUTED_VALUE"""),"Zero Dark Thirty")</f>
        <v>Zero Dark Thirty</v>
      </c>
      <c r="C502" s="21" t="str">
        <f>IFERROR(__xludf.DUMMYFUNCTION("""COMPUTED_VALUE"""),"Kathryn Bigelow")</f>
        <v>Kathryn Bigelow</v>
      </c>
      <c r="D502" s="21" t="str">
        <f>IFERROR(__xludf.DUMMYFUNCTION("""COMPUTED_VALUE"""),"2012")</f>
        <v>2012</v>
      </c>
    </row>
    <row r="503" ht="15.75" customHeight="1">
      <c r="A503" s="9">
        <v>502.0</v>
      </c>
      <c r="B503" s="21" t="str">
        <f>IFERROR(__xludf.DUMMYFUNCTION("""COMPUTED_VALUE"""),"21 Ways to Ruin a Marriage")</f>
        <v>21 Ways to Ruin a Marriage</v>
      </c>
      <c r="C503" s="21" t="str">
        <f>IFERROR(__xludf.DUMMYFUNCTION("""COMPUTED_VALUE"""),"Johanna Vuoksenmaa")</f>
        <v>Johanna Vuoksenmaa</v>
      </c>
      <c r="D503" s="21" t="str">
        <f>IFERROR(__xludf.DUMMYFUNCTION("""COMPUTED_VALUE"""),"2013")</f>
        <v>2013</v>
      </c>
      <c r="E503" s="21" t="s">
        <v>1754</v>
      </c>
      <c r="F503" s="21" t="s">
        <v>1754</v>
      </c>
    </row>
    <row r="504" ht="15.75" customHeight="1">
      <c r="A504" s="9">
        <v>503.0</v>
      </c>
      <c r="B504" s="21" t="str">
        <f>IFERROR(__xludf.DUMMYFUNCTION("""COMPUTED_VALUE"""),"A Teacher")</f>
        <v>A Teacher</v>
      </c>
      <c r="C504" s="21" t="str">
        <f>IFERROR(__xludf.DUMMYFUNCTION("""COMPUTED_VALUE"""),"Hannah Fidell")</f>
        <v>Hannah Fidell</v>
      </c>
      <c r="D504" s="21" t="str">
        <f>IFERROR(__xludf.DUMMYFUNCTION("""COMPUTED_VALUE"""),"2013")</f>
        <v>2013</v>
      </c>
    </row>
    <row r="505" ht="15.75" customHeight="1">
      <c r="A505" s="9">
        <v>504.0</v>
      </c>
      <c r="B505" s="21" t="str">
        <f>IFERROR(__xludf.DUMMYFUNCTION("""COMPUTED_VALUE"""),"August Fools")</f>
        <v>August Fools</v>
      </c>
      <c r="C505" s="21" t="str">
        <f>IFERROR(__xludf.DUMMYFUNCTION("""COMPUTED_VALUE"""),"Taru Mäkelä")</f>
        <v>Taru Mäkelä</v>
      </c>
      <c r="D505" s="21" t="str">
        <f>IFERROR(__xludf.DUMMYFUNCTION("""COMPUTED_VALUE"""),"2013")</f>
        <v>2013</v>
      </c>
    </row>
    <row r="506" ht="15.75" customHeight="1">
      <c r="A506" s="9">
        <v>505.0</v>
      </c>
      <c r="B506" s="21" t="str">
        <f>IFERROR(__xludf.DUMMYFUNCTION("""COMPUTED_VALUE"""),"Abuse of Weakness")</f>
        <v>Abuse of Weakness</v>
      </c>
      <c r="C506" s="21" t="str">
        <f>IFERROR(__xludf.DUMMYFUNCTION("""COMPUTED_VALUE"""),"Catherine Breillat")</f>
        <v>Catherine Breillat</v>
      </c>
      <c r="D506" s="21" t="str">
        <f>IFERROR(__xludf.DUMMYFUNCTION("""COMPUTED_VALUE"""),"2013")</f>
        <v>2013</v>
      </c>
    </row>
    <row r="507" ht="15.75" customHeight="1">
      <c r="A507" s="9">
        <v>506.0</v>
      </c>
      <c r="B507" s="21" t="str">
        <f>IFERROR(__xludf.DUMMYFUNCTION("""COMPUTED_VALUE"""),"Bastards")</f>
        <v>Bastards</v>
      </c>
      <c r="C507" s="21" t="str">
        <f>IFERROR(__xludf.DUMMYFUNCTION("""COMPUTED_VALUE"""),"Claire Denis")</f>
        <v>Claire Denis</v>
      </c>
      <c r="D507" s="21" t="str">
        <f>IFERROR(__xludf.DUMMYFUNCTION("""COMPUTED_VALUE"""),"2013")</f>
        <v>2013</v>
      </c>
    </row>
    <row r="508" ht="15.75" customHeight="1">
      <c r="A508" s="9">
        <v>507.0</v>
      </c>
      <c r="B508" s="21" t="str">
        <f>IFERROR(__xludf.DUMMYFUNCTION("""COMPUTED_VALUE"""),"Best Friends Forever")</f>
        <v>Best Friends Forever</v>
      </c>
      <c r="C508" s="21" t="str">
        <f>IFERROR(__xludf.DUMMYFUNCTION("""COMPUTED_VALUE"""),"Brea Grant")</f>
        <v>Brea Grant</v>
      </c>
      <c r="D508" s="21" t="str">
        <f>IFERROR(__xludf.DUMMYFUNCTION("""COMPUTED_VALUE"""),"2013")</f>
        <v>2013</v>
      </c>
    </row>
    <row r="509" ht="15.75" customHeight="1">
      <c r="A509" s="9">
        <v>508.0</v>
      </c>
      <c r="B509" s="21" t="str">
        <f>IFERROR(__xludf.DUMMYFUNCTION("""COMPUTED_VALUE"""),"The Bling Ring")</f>
        <v>The Bling Ring</v>
      </c>
      <c r="C509" s="21" t="str">
        <f>IFERROR(__xludf.DUMMYFUNCTION("""COMPUTED_VALUE"""),"Sofia Coppola")</f>
        <v>Sofia Coppola</v>
      </c>
      <c r="D509" s="21" t="str">
        <f>IFERROR(__xludf.DUMMYFUNCTION("""COMPUTED_VALUE"""),"2013")</f>
        <v>2013</v>
      </c>
    </row>
    <row r="510" ht="15.75" customHeight="1">
      <c r="A510" s="9">
        <v>509.0</v>
      </c>
      <c r="B510" s="21" t="str">
        <f>IFERROR(__xludf.DUMMYFUNCTION("""COMPUTED_VALUE"""),"Butter on the Latch")</f>
        <v>Butter on the Latch</v>
      </c>
      <c r="C510" s="21" t="str">
        <f>IFERROR(__xludf.DUMMYFUNCTION("""COMPUTED_VALUE"""),"Josephine Decker")</f>
        <v>Josephine Decker</v>
      </c>
      <c r="D510" s="21" t="str">
        <f>IFERROR(__xludf.DUMMYFUNCTION("""COMPUTED_VALUE"""),"2013")</f>
        <v>2013</v>
      </c>
    </row>
    <row r="511" ht="15.75" customHeight="1">
      <c r="A511" s="9">
        <v>510.0</v>
      </c>
      <c r="B511" s="21" t="str">
        <f>IFERROR(__xludf.DUMMYFUNCTION("""COMPUTED_VALUE"""),"Carrie")</f>
        <v>Carrie</v>
      </c>
      <c r="C511" s="21" t="str">
        <f>IFERROR(__xludf.DUMMYFUNCTION("""COMPUTED_VALUE"""),"Kimberly Peirce")</f>
        <v>Kimberly Peirce</v>
      </c>
      <c r="D511" s="21" t="str">
        <f>IFERROR(__xludf.DUMMYFUNCTION("""COMPUTED_VALUE"""),"2013")</f>
        <v>2013</v>
      </c>
    </row>
    <row r="512" ht="15.75" customHeight="1">
      <c r="A512" s="9">
        <v>511.0</v>
      </c>
      <c r="B512" s="21" t="str">
        <f>IFERROR(__xludf.DUMMYFUNCTION("""COMPUTED_VALUE"""),"Concussion")</f>
        <v>Concussion</v>
      </c>
      <c r="C512" s="21" t="str">
        <f>IFERROR(__xludf.DUMMYFUNCTION("""COMPUTED_VALUE"""),"Stacie Passon")</f>
        <v>Stacie Passon</v>
      </c>
      <c r="D512" s="21" t="str">
        <f>IFERROR(__xludf.DUMMYFUNCTION("""COMPUTED_VALUE"""),"2013")</f>
        <v>2013</v>
      </c>
    </row>
    <row r="513" ht="15.75" customHeight="1">
      <c r="A513" s="9">
        <v>512.0</v>
      </c>
      <c r="B513" s="21" t="str">
        <f>IFERROR(__xludf.DUMMYFUNCTION("""COMPUTED_VALUE"""),"Desert Runners")</f>
        <v>Desert Runners</v>
      </c>
      <c r="C513" s="21" t="str">
        <f>IFERROR(__xludf.DUMMYFUNCTION("""COMPUTED_VALUE"""),"Jennifer Steinman")</f>
        <v>Jennifer Steinman</v>
      </c>
      <c r="D513" s="21" t="str">
        <f>IFERROR(__xludf.DUMMYFUNCTION("""COMPUTED_VALUE"""),"2013")</f>
        <v>2013</v>
      </c>
    </row>
    <row r="514" ht="15.75" customHeight="1">
      <c r="A514" s="9">
        <v>513.0</v>
      </c>
      <c r="B514" s="21" t="str">
        <f>IFERROR(__xludf.DUMMYFUNCTION("""COMPUTED_VALUE"""),"Elektro Moskva")</f>
        <v>Elektro Moskva</v>
      </c>
      <c r="C514" s="21" t="str">
        <f>IFERROR(__xludf.DUMMYFUNCTION("""COMPUTED_VALUE"""),"Elena Tikhonova")</f>
        <v>Elena Tikhonova</v>
      </c>
      <c r="D514" s="21" t="str">
        <f>IFERROR(__xludf.DUMMYFUNCTION("""COMPUTED_VALUE"""),"2013")</f>
        <v>2013</v>
      </c>
    </row>
    <row r="515" ht="15.75" customHeight="1">
      <c r="A515" s="9">
        <v>514.0</v>
      </c>
      <c r="B515" s="21" t="str">
        <f>IFERROR(__xludf.DUMMYFUNCTION("""COMPUTED_VALUE"""),"Enough Said")</f>
        <v>Enough Said</v>
      </c>
      <c r="C515" s="21" t="str">
        <f>IFERROR(__xludf.DUMMYFUNCTION("""COMPUTED_VALUE"""),"Nicole Holofcener")</f>
        <v>Nicole Holofcener</v>
      </c>
      <c r="D515" s="21" t="str">
        <f>IFERROR(__xludf.DUMMYFUNCTION("""COMPUTED_VALUE"""),"2013")</f>
        <v>2013</v>
      </c>
    </row>
    <row r="516" ht="15.75" customHeight="1">
      <c r="A516" s="9">
        <v>515.0</v>
      </c>
      <c r="B516" s="21" t="str">
        <f>IFERROR(__xludf.DUMMYFUNCTION("""COMPUTED_VALUE"""),"Final Recipe")</f>
        <v>Final Recipe</v>
      </c>
      <c r="C516" s="21" t="str">
        <f>IFERROR(__xludf.DUMMYFUNCTION("""COMPUTED_VALUE"""),"Gina Kim")</f>
        <v>Gina Kim</v>
      </c>
      <c r="D516" s="21" t="str">
        <f>IFERROR(__xludf.DUMMYFUNCTION("""COMPUTED_VALUE"""),"2013")</f>
        <v>2013</v>
      </c>
    </row>
    <row r="517" ht="15.75" customHeight="1">
      <c r="A517" s="9">
        <v>516.0</v>
      </c>
      <c r="B517" s="21" t="str">
        <f>IFERROR(__xludf.DUMMYFUNCTION("""COMPUTED_VALUE"""),"Frozen")</f>
        <v>Frozen</v>
      </c>
      <c r="C517" s="21" t="str">
        <f>IFERROR(__xludf.DUMMYFUNCTION("""COMPUTED_VALUE"""),"Jennifer Lee, co-directed with Chris Buck")</f>
        <v>Jennifer Lee, co-directed with Chris Buck</v>
      </c>
      <c r="D517" s="21" t="str">
        <f>IFERROR(__xludf.DUMMYFUNCTION("""COMPUTED_VALUE"""),"2013")</f>
        <v>2013</v>
      </c>
    </row>
    <row r="518" ht="15.75" customHeight="1">
      <c r="A518" s="9">
        <v>517.0</v>
      </c>
      <c r="B518" s="21" t="str">
        <f>IFERROR(__xludf.DUMMYFUNCTION("""COMPUTED_VALUE"""),"Hateship, Loveship")</f>
        <v>Hateship, Loveship</v>
      </c>
      <c r="C518" s="21" t="str">
        <f>IFERROR(__xludf.DUMMYFUNCTION("""COMPUTED_VALUE"""),"Liza Johnson")</f>
        <v>Liza Johnson</v>
      </c>
      <c r="D518" s="21" t="str">
        <f>IFERROR(__xludf.DUMMYFUNCTION("""COMPUTED_VALUE"""),"2013")</f>
        <v>2013</v>
      </c>
    </row>
    <row r="519" ht="15.75" customHeight="1">
      <c r="A519" s="9">
        <v>518.0</v>
      </c>
      <c r="B519" s="21" t="str">
        <f>IFERROR(__xludf.DUMMYFUNCTION("""COMPUTED_VALUE"""),"It Felt Like Love")</f>
        <v>It Felt Like Love</v>
      </c>
      <c r="C519" s="21" t="str">
        <f>IFERROR(__xludf.DUMMYFUNCTION("""COMPUTED_VALUE"""),"Eliza Hittman")</f>
        <v>Eliza Hittman</v>
      </c>
      <c r="D519" s="21" t="str">
        <f>IFERROR(__xludf.DUMMYFUNCTION("""COMPUTED_VALUE"""),"2013")</f>
        <v>2013</v>
      </c>
    </row>
    <row r="520" ht="15.75" customHeight="1">
      <c r="A520" s="9">
        <v>519.0</v>
      </c>
      <c r="B520" s="21" t="str">
        <f>IFERROR(__xludf.DUMMYFUNCTION("""COMPUTED_VALUE"""),"Lucky Them")</f>
        <v>Lucky Them</v>
      </c>
      <c r="C520" s="21" t="str">
        <f>IFERROR(__xludf.DUMMYFUNCTION("""COMPUTED_VALUE"""),"Megan Griffiths")</f>
        <v>Megan Griffiths</v>
      </c>
      <c r="D520" s="21" t="str">
        <f>IFERROR(__xludf.DUMMYFUNCTION("""COMPUTED_VALUE"""),"2013")</f>
        <v>2013</v>
      </c>
    </row>
    <row r="521" ht="15.75" customHeight="1">
      <c r="A521" s="9">
        <v>520.0</v>
      </c>
      <c r="B521" s="21" t="str">
        <f>IFERROR(__xludf.DUMMYFUNCTION("""COMPUTED_VALUE"""),"Night Moves")</f>
        <v>Night Moves</v>
      </c>
      <c r="C521" s="21" t="str">
        <f>IFERROR(__xludf.DUMMYFUNCTION("""COMPUTED_VALUE"""),"Kelly Reichardt")</f>
        <v>Kelly Reichardt</v>
      </c>
      <c r="D521" s="21" t="str">
        <f>IFERROR(__xludf.DUMMYFUNCTION("""COMPUTED_VALUE"""),"2013")</f>
        <v>2013</v>
      </c>
    </row>
    <row r="522" ht="15.75" customHeight="1">
      <c r="A522" s="9">
        <v>521.0</v>
      </c>
      <c r="B522" s="21" t="str">
        <f>IFERROR(__xludf.DUMMYFUNCTION("""COMPUTED_VALUE"""),"Palo Alto")</f>
        <v>Palo Alto</v>
      </c>
      <c r="C522" s="21" t="str">
        <f>IFERROR(__xludf.DUMMYFUNCTION("""COMPUTED_VALUE"""),"Gia Coppola")</f>
        <v>Gia Coppola</v>
      </c>
      <c r="D522" s="21" t="str">
        <f>IFERROR(__xludf.DUMMYFUNCTION("""COMPUTED_VALUE"""),"2013")</f>
        <v>2013</v>
      </c>
    </row>
    <row r="523" ht="15.75" customHeight="1">
      <c r="A523" s="9">
        <v>522.0</v>
      </c>
      <c r="B523" s="21" t="str">
        <f>IFERROR(__xludf.DUMMYFUNCTION("""COMPUTED_VALUE"""),"Plush")</f>
        <v>Plush</v>
      </c>
      <c r="C523" s="21" t="str">
        <f>IFERROR(__xludf.DUMMYFUNCTION("""COMPUTED_VALUE"""),"Catherine Hardwicke")</f>
        <v>Catherine Hardwicke</v>
      </c>
      <c r="D523" s="21" t="str">
        <f>IFERROR(__xludf.DUMMYFUNCTION("""COMPUTED_VALUE"""),"2013")</f>
        <v>2013</v>
      </c>
    </row>
    <row r="524" ht="15.75" customHeight="1">
      <c r="A524" s="9">
        <v>523.0</v>
      </c>
      <c r="B524" s="21" t="str">
        <f>IFERROR(__xludf.DUMMYFUNCTION("""COMPUTED_VALUE"""),"The Pretty One")</f>
        <v>The Pretty One</v>
      </c>
      <c r="C524" s="21" t="str">
        <f>IFERROR(__xludf.DUMMYFUNCTION("""COMPUTED_VALUE"""),"Jenée LaMarque")</f>
        <v>Jenée LaMarque</v>
      </c>
      <c r="D524" s="21" t="str">
        <f>IFERROR(__xludf.DUMMYFUNCTION("""COMPUTED_VALUE"""),"2013")</f>
        <v>2013</v>
      </c>
    </row>
    <row r="525" ht="15.75" customHeight="1">
      <c r="A525" s="9">
        <v>524.0</v>
      </c>
      <c r="B525" s="21" t="str">
        <f>IFERROR(__xludf.DUMMYFUNCTION("""COMPUTED_VALUE"""),"Some Girl(s)")</f>
        <v>Some Girl(s)</v>
      </c>
      <c r="C525" s="21" t="str">
        <f>IFERROR(__xludf.DUMMYFUNCTION("""COMPUTED_VALUE"""),"Daisy von Scherler Mayer")</f>
        <v>Daisy von Scherler Mayer</v>
      </c>
      <c r="D525" s="21" t="str">
        <f>IFERROR(__xludf.DUMMYFUNCTION("""COMPUTED_VALUE"""),"2013")</f>
        <v>2013</v>
      </c>
    </row>
    <row r="526" ht="15.75" customHeight="1">
      <c r="A526" s="9">
        <v>525.0</v>
      </c>
      <c r="B526" s="21" t="str">
        <f>IFERROR(__xludf.DUMMYFUNCTION("""COMPUTED_VALUE"""),"Soulmate")</f>
        <v>Soulmate</v>
      </c>
      <c r="C526" s="21" t="str">
        <f>IFERROR(__xludf.DUMMYFUNCTION("""COMPUTED_VALUE"""),"Axelle Carolyn")</f>
        <v>Axelle Carolyn</v>
      </c>
      <c r="D526" s="21" t="str">
        <f>IFERROR(__xludf.DUMMYFUNCTION("""COMPUTED_VALUE"""),"2013")</f>
        <v>2013</v>
      </c>
    </row>
    <row r="527" ht="15.75" customHeight="1">
      <c r="A527" s="9">
        <v>526.0</v>
      </c>
      <c r="B527" s="21" t="str">
        <f>IFERROR(__xludf.DUMMYFUNCTION("""COMPUTED_VALUE"""),"Sunlight Jr.")</f>
        <v>Sunlight Jr.</v>
      </c>
      <c r="C527" s="21" t="str">
        <f>IFERROR(__xludf.DUMMYFUNCTION("""COMPUTED_VALUE"""),"Laurie Collyer")</f>
        <v>Laurie Collyer</v>
      </c>
      <c r="D527" s="21" t="str">
        <f>IFERROR(__xludf.DUMMYFUNCTION("""COMPUTED_VALUE"""),"2013")</f>
        <v>2013</v>
      </c>
    </row>
    <row r="528" ht="15.75" customHeight="1">
      <c r="A528" s="9">
        <v>527.0</v>
      </c>
      <c r="B528" s="21" t="str">
        <f>IFERROR(__xludf.DUMMYFUNCTION("""COMPUTED_VALUE"""),"The To Do List")</f>
        <v>The To Do List</v>
      </c>
      <c r="C528" s="21" t="str">
        <f>IFERROR(__xludf.DUMMYFUNCTION("""COMPUTED_VALUE"""),"Maggie Carey")</f>
        <v>Maggie Carey</v>
      </c>
      <c r="D528" s="21" t="str">
        <f>IFERROR(__xludf.DUMMYFUNCTION("""COMPUTED_VALUE"""),"2013")</f>
        <v>2013</v>
      </c>
    </row>
    <row r="529" ht="15.75" customHeight="1">
      <c r="A529" s="9">
        <v>528.0</v>
      </c>
      <c r="B529" s="21" t="str">
        <f>IFERROR(__xludf.DUMMYFUNCTION("""COMPUTED_VALUE"""),"Touchy Feely")</f>
        <v>Touchy Feely</v>
      </c>
      <c r="C529" s="21" t="str">
        <f>IFERROR(__xludf.DUMMYFUNCTION("""COMPUTED_VALUE"""),"Lynn Shelton")</f>
        <v>Lynn Shelton</v>
      </c>
      <c r="D529" s="21" t="str">
        <f>IFERROR(__xludf.DUMMYFUNCTION("""COMPUTED_VALUE"""),"2013")</f>
        <v>2013</v>
      </c>
    </row>
    <row r="530" ht="15.75" customHeight="1">
      <c r="A530" s="9">
        <v>529.0</v>
      </c>
      <c r="B530" s="21" t="str">
        <f>IFERROR(__xludf.DUMMYFUNCTION("""COMPUTED_VALUE"""),"A Girl Walks Home Alone at Night")</f>
        <v>A Girl Walks Home Alone at Night</v>
      </c>
      <c r="C530" s="21" t="str">
        <f>IFERROR(__xludf.DUMMYFUNCTION("""COMPUTED_VALUE"""),"Ana Lily Amirpour")</f>
        <v>Ana Lily Amirpour</v>
      </c>
      <c r="D530" s="21" t="str">
        <f>IFERROR(__xludf.DUMMYFUNCTION("""COMPUTED_VALUE"""),"2014")</f>
        <v>2014</v>
      </c>
    </row>
    <row r="531" ht="15.75" customHeight="1">
      <c r="A531" s="9">
        <v>530.0</v>
      </c>
      <c r="B531" s="21" t="str">
        <f>IFERROR(__xludf.DUMMYFUNCTION("""COMPUTED_VALUE"""),"Amour Fou")</f>
        <v>Amour Fou</v>
      </c>
      <c r="C531" s="21" t="str">
        <f>IFERROR(__xludf.DUMMYFUNCTION("""COMPUTED_VALUE"""),"Jessica Hausner")</f>
        <v>Jessica Hausner</v>
      </c>
      <c r="D531" s="21" t="str">
        <f>IFERROR(__xludf.DUMMYFUNCTION("""COMPUTED_VALUE"""),"2014")</f>
        <v>2014</v>
      </c>
    </row>
    <row r="532" ht="15.75" customHeight="1">
      <c r="A532" s="9">
        <v>531.0</v>
      </c>
      <c r="B532" s="21" t="str">
        <f>IFERROR(__xludf.DUMMYFUNCTION("""COMPUTED_VALUE"""),"Appropriate Behavior")</f>
        <v>Appropriate Behavior</v>
      </c>
      <c r="C532" s="21" t="str">
        <f>IFERROR(__xludf.DUMMYFUNCTION("""COMPUTED_VALUE"""),"Desiree Akhavan")</f>
        <v>Desiree Akhavan</v>
      </c>
      <c r="D532" s="21" t="str">
        <f>IFERROR(__xludf.DUMMYFUNCTION("""COMPUTED_VALUE"""),"2014")</f>
        <v>2014</v>
      </c>
    </row>
    <row r="533" ht="15.75" customHeight="1">
      <c r="A533" s="9">
        <v>532.0</v>
      </c>
      <c r="B533" s="21" t="str">
        <f>IFERROR(__xludf.DUMMYFUNCTION("""COMPUTED_VALUE"""),"The Babadook")</f>
        <v>The Babadook</v>
      </c>
      <c r="C533" s="21" t="str">
        <f>IFERROR(__xludf.DUMMYFUNCTION("""COMPUTED_VALUE"""),"Jennifer Kent")</f>
        <v>Jennifer Kent</v>
      </c>
      <c r="D533" s="21" t="str">
        <f>IFERROR(__xludf.DUMMYFUNCTION("""COMPUTED_VALUE"""),"2014")</f>
        <v>2014</v>
      </c>
    </row>
    <row r="534" ht="15.75" customHeight="1">
      <c r="A534" s="9">
        <v>533.0</v>
      </c>
      <c r="B534" s="21" t="str">
        <f>IFERROR(__xludf.DUMMYFUNCTION("""COMPUTED_VALUE"""),"Dukhtar")</f>
        <v>Dukhtar</v>
      </c>
      <c r="C534" s="21" t="str">
        <f>IFERROR(__xludf.DUMMYFUNCTION("""COMPUTED_VALUE"""),"Afia Nathaniel")</f>
        <v>Afia Nathaniel</v>
      </c>
      <c r="D534" s="21" t="str">
        <f>IFERROR(__xludf.DUMMYFUNCTION("""COMPUTED_VALUE"""),"2014")</f>
        <v>2014</v>
      </c>
    </row>
    <row r="535" ht="15.75" customHeight="1">
      <c r="A535" s="9">
        <v>534.0</v>
      </c>
      <c r="B535" s="21" t="str">
        <f>IFERROR(__xludf.DUMMYFUNCTION("""COMPUTED_VALUE"""),"Girlhood")</f>
        <v>Girlhood</v>
      </c>
      <c r="C535" s="21" t="str">
        <f>IFERROR(__xludf.DUMMYFUNCTION("""COMPUTED_VALUE"""),"Celine Sciamma")</f>
        <v>Celine Sciamma</v>
      </c>
      <c r="D535" s="21" t="str">
        <f>IFERROR(__xludf.DUMMYFUNCTION("""COMPUTED_VALUE"""),"2014")</f>
        <v>2014</v>
      </c>
    </row>
    <row r="536" ht="15.75" customHeight="1">
      <c r="A536" s="9">
        <v>535.0</v>
      </c>
      <c r="B536" s="21" t="str">
        <f>IFERROR(__xludf.DUMMYFUNCTION("""COMPUTED_VALUE"""),"Honeymoon")</f>
        <v>Honeymoon</v>
      </c>
      <c r="C536" s="21" t="str">
        <f>IFERROR(__xludf.DUMMYFUNCTION("""COMPUTED_VALUE"""),"Leigh Janiak")</f>
        <v>Leigh Janiak</v>
      </c>
      <c r="D536" s="21" t="str">
        <f>IFERROR(__xludf.DUMMYFUNCTION("""COMPUTED_VALUE"""),"2014")</f>
        <v>2014</v>
      </c>
    </row>
    <row r="537" ht="15.75" customHeight="1">
      <c r="A537" s="9">
        <v>536.0</v>
      </c>
      <c r="B537" s="21" t="str">
        <f>IFERROR(__xludf.DUMMYFUNCTION("""COMPUTED_VALUE"""),"I Believe in Unicorns")</f>
        <v>I Believe in Unicorns</v>
      </c>
      <c r="C537" s="21" t="str">
        <f>IFERROR(__xludf.DUMMYFUNCTION("""COMPUTED_VALUE"""),"Leah Meyerhoff")</f>
        <v>Leah Meyerhoff</v>
      </c>
      <c r="D537" s="21" t="str">
        <f>IFERROR(__xludf.DUMMYFUNCTION("""COMPUTED_VALUE"""),"2014")</f>
        <v>2014</v>
      </c>
      <c r="E537" s="21" t="s">
        <v>902</v>
      </c>
      <c r="F537" s="21" t="s">
        <v>902</v>
      </c>
    </row>
    <row r="538" ht="15.75" customHeight="1">
      <c r="A538" s="9">
        <v>537.0</v>
      </c>
      <c r="B538" s="21" t="str">
        <f>IFERROR(__xludf.DUMMYFUNCTION("""COMPUTED_VALUE"""),"Kelly &amp; Cal")</f>
        <v>Kelly &amp; Cal</v>
      </c>
      <c r="C538" s="21" t="str">
        <f>IFERROR(__xludf.DUMMYFUNCTION("""COMPUTED_VALUE"""),"Jen McGowan")</f>
        <v>Jen McGowan</v>
      </c>
      <c r="D538" s="21" t="str">
        <f>IFERROR(__xludf.DUMMYFUNCTION("""COMPUTED_VALUE"""),"2014")</f>
        <v>2014</v>
      </c>
    </row>
    <row r="539" ht="15.75" customHeight="1">
      <c r="A539" s="9">
        <v>538.0</v>
      </c>
      <c r="B539" s="21" t="str">
        <f>IFERROR(__xludf.DUMMYFUNCTION("""COMPUTED_VALUE"""),"Laggies")</f>
        <v>Laggies</v>
      </c>
      <c r="C539" s="21" t="str">
        <f>IFERROR(__xludf.DUMMYFUNCTION("""COMPUTED_VALUE"""),"Lynn Shelton")</f>
        <v>Lynn Shelton</v>
      </c>
      <c r="D539" s="21" t="str">
        <f>IFERROR(__xludf.DUMMYFUNCTION("""COMPUTED_VALUE"""),"2014")</f>
        <v>2014</v>
      </c>
    </row>
    <row r="540" ht="15.75" customHeight="1">
      <c r="A540" s="9">
        <v>539.0</v>
      </c>
      <c r="B540" s="21" t="str">
        <f>IFERROR(__xludf.DUMMYFUNCTION("""COMPUTED_VALUE"""),"Madame Bovary")</f>
        <v>Madame Bovary</v>
      </c>
      <c r="C540" s="21" t="str">
        <f>IFERROR(__xludf.DUMMYFUNCTION("""COMPUTED_VALUE"""),"Sophie Barthes")</f>
        <v>Sophie Barthes</v>
      </c>
      <c r="D540" s="21" t="str">
        <f>IFERROR(__xludf.DUMMYFUNCTION("""COMPUTED_VALUE"""),"2014")</f>
        <v>2014</v>
      </c>
    </row>
    <row r="541" ht="15.75" customHeight="1">
      <c r="A541" s="9">
        <v>540.0</v>
      </c>
      <c r="B541" s="21" t="str">
        <f>IFERROR(__xludf.DUMMYFUNCTION("""COMPUTED_VALUE"""),"Miss Meadows")</f>
        <v>Miss Meadows</v>
      </c>
      <c r="C541" s="21" t="str">
        <f>IFERROR(__xludf.DUMMYFUNCTION("""COMPUTED_VALUE"""),"Karen Leigh Hopkins")</f>
        <v>Karen Leigh Hopkins</v>
      </c>
      <c r="D541" s="21" t="str">
        <f>IFERROR(__xludf.DUMMYFUNCTION("""COMPUTED_VALUE"""),"2014")</f>
        <v>2014</v>
      </c>
    </row>
    <row r="542" ht="15.75" customHeight="1">
      <c r="A542" s="9">
        <v>541.0</v>
      </c>
      <c r="B542" s="21" t="str">
        <f>IFERROR(__xludf.DUMMYFUNCTION("""COMPUTED_VALUE"""),"Obvious Child")</f>
        <v>Obvious Child</v>
      </c>
      <c r="C542" s="21" t="str">
        <f>IFERROR(__xludf.DUMMYFUNCTION("""COMPUTED_VALUE"""),"Gillian Robespierre")</f>
        <v>Gillian Robespierre</v>
      </c>
      <c r="D542" s="21" t="str">
        <f>IFERROR(__xludf.DUMMYFUNCTION("""COMPUTED_VALUE"""),"2014")</f>
        <v>2014</v>
      </c>
    </row>
    <row r="543" ht="15.75" customHeight="1">
      <c r="A543" s="9">
        <v>542.0</v>
      </c>
      <c r="B543" s="21" t="str">
        <f>IFERROR(__xludf.DUMMYFUNCTION("""COMPUTED_VALUE"""),"The Riot Club")</f>
        <v>The Riot Club</v>
      </c>
      <c r="C543" s="21" t="str">
        <f>IFERROR(__xludf.DUMMYFUNCTION("""COMPUTED_VALUE"""),"Lone Scherfig")</f>
        <v>Lone Scherfig</v>
      </c>
      <c r="D543" s="21" t="str">
        <f>IFERROR(__xludf.DUMMYFUNCTION("""COMPUTED_VALUE"""),"2014")</f>
        <v>2014</v>
      </c>
    </row>
    <row r="544" ht="15.75" customHeight="1">
      <c r="A544" s="9">
        <v>543.0</v>
      </c>
      <c r="B544" s="21" t="str">
        <f>IFERROR(__xludf.DUMMYFUNCTION("""COMPUTED_VALUE"""),"Selma")</f>
        <v>Selma</v>
      </c>
      <c r="C544" s="21" t="str">
        <f>IFERROR(__xludf.DUMMYFUNCTION("""COMPUTED_VALUE"""),"Ava DuVernay")</f>
        <v>Ava DuVernay</v>
      </c>
      <c r="D544" s="21" t="str">
        <f>IFERROR(__xludf.DUMMYFUNCTION("""COMPUTED_VALUE"""),"2014")</f>
        <v>2014</v>
      </c>
    </row>
    <row r="545" ht="15.75" customHeight="1">
      <c r="A545" s="9">
        <v>544.0</v>
      </c>
      <c r="B545" s="21" t="str">
        <f>IFERROR(__xludf.DUMMYFUNCTION("""COMPUTED_VALUE"""),"The Sleepwalker")</f>
        <v>The Sleepwalker</v>
      </c>
      <c r="C545" s="21" t="str">
        <f>IFERROR(__xludf.DUMMYFUNCTION("""COMPUTED_VALUE"""),"Mona Fastvold")</f>
        <v>Mona Fastvold</v>
      </c>
      <c r="D545" s="21" t="str">
        <f>IFERROR(__xludf.DUMMYFUNCTION("""COMPUTED_VALUE"""),"2014")</f>
        <v>2014</v>
      </c>
    </row>
    <row r="546" ht="15.75" customHeight="1">
      <c r="A546" s="9">
        <v>545.0</v>
      </c>
      <c r="B546" s="21" t="str">
        <f>IFERROR(__xludf.DUMMYFUNCTION("""COMPUTED_VALUE"""),"Thou Wast Mild and Lovely")</f>
        <v>Thou Wast Mild and Lovely</v>
      </c>
      <c r="C546" s="21" t="str">
        <f>IFERROR(__xludf.DUMMYFUNCTION("""COMPUTED_VALUE"""),"Josephine Decker")</f>
        <v>Josephine Decker</v>
      </c>
      <c r="D546" s="21" t="str">
        <f>IFERROR(__xludf.DUMMYFUNCTION("""COMPUTED_VALUE"""),"2014")</f>
        <v>2014</v>
      </c>
    </row>
    <row r="547" ht="15.75" customHeight="1">
      <c r="A547" s="9">
        <v>546.0</v>
      </c>
      <c r="B547" s="21" t="str">
        <f>IFERROR(__xludf.DUMMYFUNCTION("""COMPUTED_VALUE"""),"Unbroken")</f>
        <v>Unbroken</v>
      </c>
      <c r="C547" s="21" t="str">
        <f>IFERROR(__xludf.DUMMYFUNCTION("""COMPUTED_VALUE"""),"Angelina Jolie")</f>
        <v>Angelina Jolie</v>
      </c>
      <c r="D547" s="21" t="str">
        <f>IFERROR(__xludf.DUMMYFUNCTION("""COMPUTED_VALUE"""),"2014")</f>
        <v>2014</v>
      </c>
    </row>
    <row r="548" ht="15.75" customHeight="1">
      <c r="A548" s="9">
        <v>547.0</v>
      </c>
      <c r="B548" s="21" t="str">
        <f>IFERROR(__xludf.DUMMYFUNCTION("""COMPUTED_VALUE"""),"The Voices")</f>
        <v>The Voices</v>
      </c>
      <c r="C548" s="21" t="str">
        <f>IFERROR(__xludf.DUMMYFUNCTION("""COMPUTED_VALUE"""),"Marjane Satrapi")</f>
        <v>Marjane Satrapi</v>
      </c>
      <c r="D548" s="21" t="str">
        <f>IFERROR(__xludf.DUMMYFUNCTION("""COMPUTED_VALUE"""),"2014")</f>
        <v>2014</v>
      </c>
    </row>
    <row r="549" ht="15.75" customHeight="1">
      <c r="A549" s="9">
        <v>548.0</v>
      </c>
      <c r="B549" s="21" t="str">
        <f>IFERROR(__xludf.DUMMYFUNCTION("""COMPUTED_VALUE"""),"Welcome to Me")</f>
        <v>Welcome to Me</v>
      </c>
      <c r="C549" s="21" t="str">
        <f>IFERROR(__xludf.DUMMYFUNCTION("""COMPUTED_VALUE"""),"Shira Piven")</f>
        <v>Shira Piven</v>
      </c>
      <c r="D549" s="21" t="str">
        <f>IFERROR(__xludf.DUMMYFUNCTION("""COMPUTED_VALUE"""),"2014")</f>
        <v>2014</v>
      </c>
    </row>
    <row r="550" ht="15.75" customHeight="1">
      <c r="A550" s="9">
        <v>549.0</v>
      </c>
      <c r="B550" s="21" t="str">
        <f>IFERROR(__xludf.DUMMYFUNCTION("""COMPUTED_VALUE"""),"The Wonders")</f>
        <v>The Wonders</v>
      </c>
      <c r="C550" s="21" t="str">
        <f>IFERROR(__xludf.DUMMYFUNCTION("""COMPUTED_VALUE"""),"Alice Rohrwacher")</f>
        <v>Alice Rohrwacher</v>
      </c>
      <c r="D550" s="21" t="str">
        <f>IFERROR(__xludf.DUMMYFUNCTION("""COMPUTED_VALUE"""),"2014")</f>
        <v>2014</v>
      </c>
    </row>
    <row r="551" ht="15.75" customHeight="1">
      <c r="A551" s="9">
        <v>550.0</v>
      </c>
      <c r="B551" s="21" t="str">
        <f>IFERROR(__xludf.DUMMYFUNCTION("""COMPUTED_VALUE"""),"3 Bahadur")</f>
        <v>3 Bahadur</v>
      </c>
      <c r="C551" s="21" t="str">
        <f>IFERROR(__xludf.DUMMYFUNCTION("""COMPUTED_VALUE"""),"Sharmeen Obaid-Chinoy")</f>
        <v>Sharmeen Obaid-Chinoy</v>
      </c>
      <c r="D551" s="21" t="str">
        <f>IFERROR(__xludf.DUMMYFUNCTION("""COMPUTED_VALUE"""),"2015")</f>
        <v>2015</v>
      </c>
    </row>
    <row r="552" ht="15.75" customHeight="1">
      <c r="A552" s="9">
        <v>551.0</v>
      </c>
      <c r="B552" s="21" t="str">
        <f>IFERROR(__xludf.DUMMYFUNCTION("""COMPUTED_VALUE"""),"3 Generations")</f>
        <v>3 Generations</v>
      </c>
      <c r="C552" s="21" t="str">
        <f>IFERROR(__xludf.DUMMYFUNCTION("""COMPUTED_VALUE"""),"Gaby Dellal")</f>
        <v>Gaby Dellal</v>
      </c>
      <c r="D552" s="21" t="str">
        <f>IFERROR(__xludf.DUMMYFUNCTION("""COMPUTED_VALUE"""),"2015")</f>
        <v>2015</v>
      </c>
    </row>
    <row r="553" ht="15.75" customHeight="1">
      <c r="A553" s="9">
        <v>552.0</v>
      </c>
      <c r="B553" s="21" t="str">
        <f>IFERROR(__xludf.DUMMYFUNCTION("""COMPUTED_VALUE"""),"6 Years")</f>
        <v>6 Years</v>
      </c>
      <c r="C553" s="21" t="str">
        <f>IFERROR(__xludf.DUMMYFUNCTION("""COMPUTED_VALUE"""),"Hannah Fidell")</f>
        <v>Hannah Fidell</v>
      </c>
      <c r="D553" s="21" t="str">
        <f>IFERROR(__xludf.DUMMYFUNCTION("""COMPUTED_VALUE"""),"2015")</f>
        <v>2015</v>
      </c>
    </row>
    <row r="554" ht="15.75" customHeight="1">
      <c r="A554" s="9">
        <v>553.0</v>
      </c>
      <c r="B554" s="21" t="str">
        <f>IFERROR(__xludf.DUMMYFUNCTION("""COMPUTED_VALUE"""),"The Adderall Diaries")</f>
        <v>The Adderall Diaries</v>
      </c>
      <c r="C554" s="21" t="str">
        <f>IFERROR(__xludf.DUMMYFUNCTION("""COMPUTED_VALUE"""),"Pamela Romanowsky")</f>
        <v>Pamela Romanowsky</v>
      </c>
      <c r="D554" s="21" t="str">
        <f>IFERROR(__xludf.DUMMYFUNCTION("""COMPUTED_VALUE"""),"2015")</f>
        <v>2015</v>
      </c>
    </row>
    <row r="555" ht="15.75" customHeight="1">
      <c r="A555" s="9">
        <v>554.0</v>
      </c>
      <c r="B555" s="21" t="str">
        <f>IFERROR(__xludf.DUMMYFUNCTION("""COMPUTED_VALUE"""),"Addicted to Fresno")</f>
        <v>Addicted to Fresno</v>
      </c>
      <c r="C555" s="21" t="str">
        <f>IFERROR(__xludf.DUMMYFUNCTION("""COMPUTED_VALUE"""),"Jamie Babbit")</f>
        <v>Jamie Babbit</v>
      </c>
      <c r="D555" s="21" t="str">
        <f>IFERROR(__xludf.DUMMYFUNCTION("""COMPUTED_VALUE"""),"2015")</f>
        <v>2015</v>
      </c>
    </row>
    <row r="556" ht="15.75" customHeight="1">
      <c r="A556" s="9">
        <v>555.0</v>
      </c>
      <c r="B556" s="21" t="str">
        <f>IFERROR(__xludf.DUMMYFUNCTION("""COMPUTED_VALUE"""),"Adult Camp")</f>
        <v>Adult Camp</v>
      </c>
      <c r="C556" s="21" t="str">
        <f>IFERROR(__xludf.DUMMYFUNCTION("""COMPUTED_VALUE"""),"Johanna Vuoksenmaa")</f>
        <v>Johanna Vuoksenmaa</v>
      </c>
      <c r="D556" s="21" t="str">
        <f>IFERROR(__xludf.DUMMYFUNCTION("""COMPUTED_VALUE"""),"2015")</f>
        <v>2015</v>
      </c>
    </row>
    <row r="557" ht="15.75" customHeight="1">
      <c r="A557" s="9">
        <v>556.0</v>
      </c>
      <c r="B557" s="21" t="str">
        <f>IFERROR(__xludf.DUMMYFUNCTION("""COMPUTED_VALUE"""),"Advantageous")</f>
        <v>Advantageous</v>
      </c>
      <c r="C557" s="21" t="str">
        <f>IFERROR(__xludf.DUMMYFUNCTION("""COMPUTED_VALUE"""),"Jennifer Phang")</f>
        <v>Jennifer Phang</v>
      </c>
      <c r="D557" s="21" t="str">
        <f>IFERROR(__xludf.DUMMYFUNCTION("""COMPUTED_VALUE"""),"2015")</f>
        <v>2015</v>
      </c>
    </row>
    <row r="558" ht="15.75" customHeight="1">
      <c r="A558" s="9">
        <v>557.0</v>
      </c>
      <c r="B558" s="21" t="str">
        <f>IFERROR(__xludf.DUMMYFUNCTION("""COMPUTED_VALUE"""),"Bare")</f>
        <v>Bare</v>
      </c>
      <c r="C558" s="21" t="str">
        <f>IFERROR(__xludf.DUMMYFUNCTION("""COMPUTED_VALUE"""),"Natalia Leite")</f>
        <v>Natalia Leite</v>
      </c>
      <c r="D558" s="21" t="str">
        <f>IFERROR(__xludf.DUMMYFUNCTION("""COMPUTED_VALUE"""),"2015")</f>
        <v>2015</v>
      </c>
    </row>
    <row r="559" ht="15.75" customHeight="1">
      <c r="A559" s="9">
        <v>558.0</v>
      </c>
      <c r="B559" s="21" t="str">
        <f>IFERROR(__xludf.DUMMYFUNCTION("""COMPUTED_VALUE"""),"By the Sea")</f>
        <v>By the Sea</v>
      </c>
      <c r="C559" s="21" t="str">
        <f>IFERROR(__xludf.DUMMYFUNCTION("""COMPUTED_VALUE"""),"Angelina Jolie")</f>
        <v>Angelina Jolie</v>
      </c>
      <c r="D559" s="21" t="str">
        <f>IFERROR(__xludf.DUMMYFUNCTION("""COMPUTED_VALUE"""),"2015")</f>
        <v>2015</v>
      </c>
    </row>
    <row r="560" ht="15.75" customHeight="1">
      <c r="A560" s="9">
        <v>559.0</v>
      </c>
      <c r="B560" s="21" t="str">
        <f>IFERROR(__xludf.DUMMYFUNCTION("""COMPUTED_VALUE"""),"The Diary of a Teenage Girl")</f>
        <v>The Diary of a Teenage Girl</v>
      </c>
      <c r="C560" s="21" t="str">
        <f>IFERROR(__xludf.DUMMYFUNCTION("""COMPUTED_VALUE"""),"Marielle Heller")</f>
        <v>Marielle Heller</v>
      </c>
      <c r="D560" s="21" t="str">
        <f>IFERROR(__xludf.DUMMYFUNCTION("""COMPUTED_VALUE"""),"2015")</f>
        <v>2015</v>
      </c>
    </row>
    <row r="561" ht="15.75" customHeight="1">
      <c r="A561" s="9">
        <v>560.0</v>
      </c>
      <c r="B561" s="21" t="str">
        <f>IFERROR(__xludf.DUMMYFUNCTION("""COMPUTED_VALUE"""),"The Dressmaker")</f>
        <v>The Dressmaker</v>
      </c>
      <c r="C561" s="21" t="str">
        <f>IFERROR(__xludf.DUMMYFUNCTION("""COMPUTED_VALUE"""),"Jocelyn Moorhouse")</f>
        <v>Jocelyn Moorhouse</v>
      </c>
      <c r="D561" s="21" t="str">
        <f>IFERROR(__xludf.DUMMYFUNCTION("""COMPUTED_VALUE"""),"2015")</f>
        <v>2015</v>
      </c>
    </row>
    <row r="562" ht="15.75" customHeight="1">
      <c r="A562" s="9">
        <v>561.0</v>
      </c>
      <c r="B562" s="21" t="str">
        <f>IFERROR(__xludf.DUMMYFUNCTION("""COMPUTED_VALUE"""),"Good Morning Karachi")</f>
        <v>Good Morning Karachi</v>
      </c>
      <c r="C562" s="21" t="str">
        <f>IFERROR(__xludf.DUMMYFUNCTION("""COMPUTED_VALUE"""),"Sabiha Sumar")</f>
        <v>Sabiha Sumar</v>
      </c>
      <c r="D562" s="21" t="str">
        <f>IFERROR(__xludf.DUMMYFUNCTION("""COMPUTED_VALUE"""),"2015")</f>
        <v>2015</v>
      </c>
    </row>
    <row r="563" ht="15.75" customHeight="1">
      <c r="A563" s="9">
        <v>562.0</v>
      </c>
      <c r="B563" s="21" t="str">
        <f>IFERROR(__xludf.DUMMYFUNCTION("""COMPUTED_VALUE"""),"Gruber Is Leaving")</f>
        <v>Gruber Is Leaving</v>
      </c>
      <c r="C563" s="21" t="str">
        <f>IFERROR(__xludf.DUMMYFUNCTION("""COMPUTED_VALUE"""),"Marie Kreutzer")</f>
        <v>Marie Kreutzer</v>
      </c>
      <c r="D563" s="21" t="str">
        <f>IFERROR(__xludf.DUMMYFUNCTION("""COMPUTED_VALUE"""),"2015")</f>
        <v>2015</v>
      </c>
    </row>
    <row r="564" ht="15.75" customHeight="1">
      <c r="A564" s="9">
        <v>563.0</v>
      </c>
      <c r="B564" s="21" t="str">
        <f>IFERROR(__xludf.DUMMYFUNCTION("""COMPUTED_VALUE"""),"The Intern")</f>
        <v>The Intern</v>
      </c>
      <c r="C564" s="21" t="str">
        <f>IFERROR(__xludf.DUMMYFUNCTION("""COMPUTED_VALUE"""),"Nancy Meyers")</f>
        <v>Nancy Meyers</v>
      </c>
      <c r="D564" s="21" t="str">
        <f>IFERROR(__xludf.DUMMYFUNCTION("""COMPUTED_VALUE"""),"2015")</f>
        <v>2015</v>
      </c>
    </row>
    <row r="565" ht="15.75" customHeight="1">
      <c r="A565" s="9">
        <v>564.0</v>
      </c>
      <c r="B565" s="21" t="str">
        <f>IFERROR(__xludf.DUMMYFUNCTION("""COMPUTED_VALUE"""),"Into the Forest")</f>
        <v>Into the Forest</v>
      </c>
      <c r="C565" s="21" t="str">
        <f>IFERROR(__xludf.DUMMYFUNCTION("""COMPUTED_VALUE"""),"Patricia Rozema")</f>
        <v>Patricia Rozema</v>
      </c>
      <c r="D565" s="21" t="str">
        <f>IFERROR(__xludf.DUMMYFUNCTION("""COMPUTED_VALUE"""),"2015")</f>
        <v>2015</v>
      </c>
    </row>
    <row r="566" ht="15.75" customHeight="1">
      <c r="A566" s="9">
        <v>565.0</v>
      </c>
      <c r="B566" s="21" t="str">
        <f>IFERROR(__xludf.DUMMYFUNCTION("""COMPUTED_VALUE"""),"The Invitation")</f>
        <v>The Invitation</v>
      </c>
      <c r="C566" s="21" t="str">
        <f>IFERROR(__xludf.DUMMYFUNCTION("""COMPUTED_VALUE"""),"Karyn Kusama")</f>
        <v>Karyn Kusama</v>
      </c>
      <c r="D566" s="21" t="str">
        <f>IFERROR(__xludf.DUMMYFUNCTION("""COMPUTED_VALUE"""),"2015")</f>
        <v>2015</v>
      </c>
    </row>
    <row r="567" ht="15.75" customHeight="1">
      <c r="A567" s="9">
        <v>566.0</v>
      </c>
      <c r="B567" s="21" t="str">
        <f>IFERROR(__xludf.DUMMYFUNCTION("""COMPUTED_VALUE"""),"Maggie's Plan")</f>
        <v>Maggie's Plan</v>
      </c>
      <c r="C567" s="21" t="str">
        <f>IFERROR(__xludf.DUMMYFUNCTION("""COMPUTED_VALUE"""),"Rebecca Miller")</f>
        <v>Rebecca Miller</v>
      </c>
      <c r="D567" s="21" t="str">
        <f>IFERROR(__xludf.DUMMYFUNCTION("""COMPUTED_VALUE"""),"2015")</f>
        <v>2015</v>
      </c>
    </row>
    <row r="568" ht="15.75" customHeight="1">
      <c r="A568" s="9">
        <v>567.0</v>
      </c>
      <c r="B568" s="21" t="str">
        <f>IFERROR(__xludf.DUMMYFUNCTION("""COMPUTED_VALUE"""),"Meadowland")</f>
        <v>Meadowland</v>
      </c>
      <c r="C568" s="21" t="str">
        <f>IFERROR(__xludf.DUMMYFUNCTION("""COMPUTED_VALUE"""),"Reed Morano")</f>
        <v>Reed Morano</v>
      </c>
      <c r="D568" s="21" t="str">
        <f>IFERROR(__xludf.DUMMYFUNCTION("""COMPUTED_VALUE"""),"2015")</f>
        <v>2015</v>
      </c>
    </row>
    <row r="569" ht="15.75" customHeight="1">
      <c r="A569" s="9">
        <v>568.0</v>
      </c>
      <c r="B569" s="21" t="str">
        <f>IFERROR(__xludf.DUMMYFUNCTION("""COMPUTED_VALUE"""),"The Meddler")</f>
        <v>The Meddler</v>
      </c>
      <c r="C569" s="21" t="str">
        <f>IFERROR(__xludf.DUMMYFUNCTION("""COMPUTED_VALUE"""),"Lorene Scafaria")</f>
        <v>Lorene Scafaria</v>
      </c>
      <c r="D569" s="21" t="str">
        <f>IFERROR(__xludf.DUMMYFUNCTION("""COMPUTED_VALUE"""),"2015")</f>
        <v>2015</v>
      </c>
    </row>
    <row r="570" ht="15.75" customHeight="1">
      <c r="A570" s="9">
        <v>569.0</v>
      </c>
      <c r="B570" s="21" t="str">
        <f>IFERROR(__xludf.DUMMYFUNCTION("""COMPUTED_VALUE"""),"Miss You Already")</f>
        <v>Miss You Already</v>
      </c>
      <c r="C570" s="21" t="str">
        <f>IFERROR(__xludf.DUMMYFUNCTION("""COMPUTED_VALUE"""),"Catherine Hardwicke")</f>
        <v>Catherine Hardwicke</v>
      </c>
      <c r="D570" s="21" t="str">
        <f>IFERROR(__xludf.DUMMYFUNCTION("""COMPUTED_VALUE"""),"2015")</f>
        <v>2015</v>
      </c>
    </row>
    <row r="571" ht="15.75" customHeight="1">
      <c r="A571" s="9">
        <v>570.0</v>
      </c>
      <c r="B571" s="21" t="str">
        <f>IFERROR(__xludf.DUMMYFUNCTION("""COMPUTED_VALUE"""),"Mustang")</f>
        <v>Mustang</v>
      </c>
      <c r="C571" s="21" t="str">
        <f>IFERROR(__xludf.DUMMYFUNCTION("""COMPUTED_VALUE"""),"Deniz Gamze Ergüven")</f>
        <v>Deniz Gamze Ergüven</v>
      </c>
      <c r="D571" s="21" t="str">
        <f>IFERROR(__xludf.DUMMYFUNCTION("""COMPUTED_VALUE"""),"2015")</f>
        <v>2015</v>
      </c>
    </row>
    <row r="572" ht="15.75" customHeight="1">
      <c r="A572" s="9">
        <v>571.0</v>
      </c>
      <c r="B572" s="21" t="str">
        <f>IFERROR(__xludf.DUMMYFUNCTION("""COMPUTED_VALUE"""),"Sleeping With Other People")</f>
        <v>Sleeping With Other People</v>
      </c>
      <c r="C572" s="21" t="str">
        <f>IFERROR(__xludf.DUMMYFUNCTION("""COMPUTED_VALUE"""),"Leslye Headland")</f>
        <v>Leslye Headland</v>
      </c>
      <c r="D572" s="21" t="str">
        <f>IFERROR(__xludf.DUMMYFUNCTION("""COMPUTED_VALUE"""),"2015")</f>
        <v>2015</v>
      </c>
    </row>
    <row r="573" ht="15.75" customHeight="1">
      <c r="A573" s="9">
        <v>572.0</v>
      </c>
      <c r="B573" s="21" t="str">
        <f>IFERROR(__xludf.DUMMYFUNCTION("""COMPUTED_VALUE"""),"Songs My Brothers Taught Me")</f>
        <v>Songs My Brothers Taught Me</v>
      </c>
      <c r="C573" s="21" t="str">
        <f>IFERROR(__xludf.DUMMYFUNCTION("""COMPUTED_VALUE"""),"Chloé Zhao")</f>
        <v>Chloé Zhao</v>
      </c>
      <c r="D573" s="21" t="str">
        <f>IFERROR(__xludf.DUMMYFUNCTION("""COMPUTED_VALUE"""),"2015")</f>
        <v>2015</v>
      </c>
    </row>
    <row r="574" ht="15.75" customHeight="1">
      <c r="A574" s="9">
        <v>573.0</v>
      </c>
      <c r="B574" s="21" t="str">
        <f>IFERROR(__xludf.DUMMYFUNCTION("""COMPUTED_VALUE"""),"Suffragette")</f>
        <v>Suffragette</v>
      </c>
      <c r="C574" s="21" t="str">
        <f>IFERROR(__xludf.DUMMYFUNCTION("""COMPUTED_VALUE"""),"Sarah Gavron")</f>
        <v>Sarah Gavron</v>
      </c>
      <c r="D574" s="21" t="str">
        <f>IFERROR(__xludf.DUMMYFUNCTION("""COMPUTED_VALUE"""),"2015")</f>
        <v>2015</v>
      </c>
    </row>
    <row r="575" ht="15.75" customHeight="1">
      <c r="A575" s="9">
        <v>574.0</v>
      </c>
      <c r="B575" s="21" t="str">
        <f>IFERROR(__xludf.DUMMYFUNCTION("""COMPUTED_VALUE"""),"Summertime")</f>
        <v>Summertime</v>
      </c>
      <c r="C575" s="21" t="str">
        <f>IFERROR(__xludf.DUMMYFUNCTION("""COMPUTED_VALUE"""),"Catherine Corsini")</f>
        <v>Catherine Corsini</v>
      </c>
      <c r="D575" s="21" t="str">
        <f>IFERROR(__xludf.DUMMYFUNCTION("""COMPUTED_VALUE"""),"2015")</f>
        <v>2015</v>
      </c>
    </row>
    <row r="576" ht="15.75" customHeight="1">
      <c r="A576" s="9">
        <v>575.0</v>
      </c>
      <c r="B576" s="21" t="str">
        <f>IFERROR(__xludf.DUMMYFUNCTION("""COMPUTED_VALUE"""),"Traumfrauen")</f>
        <v>Traumfrauen</v>
      </c>
      <c r="C576" s="21" t="str">
        <f>IFERROR(__xludf.DUMMYFUNCTION("""COMPUTED_VALUE"""),"Anika Decker")</f>
        <v>Anika Decker</v>
      </c>
      <c r="D576" s="21" t="str">
        <f>IFERROR(__xludf.DUMMYFUNCTION("""COMPUTED_VALUE"""),"2015")</f>
        <v>2015</v>
      </c>
    </row>
    <row r="577" ht="15.75" customHeight="1">
      <c r="A577" s="9">
        <v>576.0</v>
      </c>
      <c r="B577" s="21" t="str">
        <f>IFERROR(__xludf.DUMMYFUNCTION("""COMPUTED_VALUE"""),"Always Shine")</f>
        <v>Always Shine</v>
      </c>
      <c r="C577" s="21" t="str">
        <f>IFERROR(__xludf.DUMMYFUNCTION("""COMPUTED_VALUE"""),"Sophia Takal")</f>
        <v>Sophia Takal</v>
      </c>
      <c r="D577" s="21" t="str">
        <f>IFERROR(__xludf.DUMMYFUNCTION("""COMPUTED_VALUE"""),"2016")</f>
        <v>2016</v>
      </c>
    </row>
    <row r="578" ht="15.75" customHeight="1">
      <c r="A578" s="9">
        <v>577.0</v>
      </c>
      <c r="B578" s="21" t="str">
        <f>IFERROR(__xludf.DUMMYFUNCTION("""COMPUTED_VALUE"""),"American Honey")</f>
        <v>American Honey</v>
      </c>
      <c r="C578" s="21" t="str">
        <f>IFERROR(__xludf.DUMMYFUNCTION("""COMPUTED_VALUE"""),"Andrea Arnold")</f>
        <v>Andrea Arnold</v>
      </c>
      <c r="D578" s="21" t="str">
        <f>IFERROR(__xludf.DUMMYFUNCTION("""COMPUTED_VALUE"""),"2016")</f>
        <v>2016</v>
      </c>
    </row>
    <row r="579" ht="15.75" customHeight="1">
      <c r="A579" s="9">
        <v>578.0</v>
      </c>
      <c r="B579" s="21" t="str">
        <f>IFERROR(__xludf.DUMMYFUNCTION("""COMPUTED_VALUE"""),"The Bad Batch")</f>
        <v>The Bad Batch</v>
      </c>
      <c r="C579" s="21" t="str">
        <f>IFERROR(__xludf.DUMMYFUNCTION("""COMPUTED_VALUE"""),"Ana Lily Amirpour")</f>
        <v>Ana Lily Amirpour</v>
      </c>
      <c r="D579" s="21" t="str">
        <f>IFERROR(__xludf.DUMMYFUNCTION("""COMPUTED_VALUE"""),"2016")</f>
        <v>2016</v>
      </c>
    </row>
    <row r="580" ht="15.75" customHeight="1">
      <c r="A580" s="9">
        <v>579.0</v>
      </c>
      <c r="B580" s="21" t="str">
        <f>IFERROR(__xludf.DUMMYFUNCTION("""COMPUTED_VALUE"""),"Carrie Pilby")</f>
        <v>Carrie Pilby</v>
      </c>
      <c r="C580" s="21" t="str">
        <f>IFERROR(__xludf.DUMMYFUNCTION("""COMPUTED_VALUE"""),"Susan Johnson")</f>
        <v>Susan Johnson</v>
      </c>
      <c r="D580" s="21" t="str">
        <f>IFERROR(__xludf.DUMMYFUNCTION("""COMPUTED_VALUE"""),"2016")</f>
        <v>2016</v>
      </c>
    </row>
    <row r="581" ht="15.75" customHeight="1">
      <c r="A581" s="9">
        <v>580.0</v>
      </c>
      <c r="B581" s="21" t="str">
        <f>IFERROR(__xludf.DUMMYFUNCTION("""COMPUTED_VALUE"""),"Certain Women")</f>
        <v>Certain Women</v>
      </c>
      <c r="C581" s="21" t="str">
        <f>IFERROR(__xludf.DUMMYFUNCTION("""COMPUTED_VALUE"""),"Kelly Reichardt")</f>
        <v>Kelly Reichardt</v>
      </c>
      <c r="D581" s="21" t="str">
        <f>IFERROR(__xludf.DUMMYFUNCTION("""COMPUTED_VALUE"""),"2016")</f>
        <v>2016</v>
      </c>
    </row>
    <row r="582" ht="15.75" customHeight="1">
      <c r="A582" s="9">
        <v>581.0</v>
      </c>
      <c r="B582" s="21" t="str">
        <f>IFERROR(__xludf.DUMMYFUNCTION("""COMPUTED_VALUE"""),"The Edge of Seventeen")</f>
        <v>The Edge of Seventeen</v>
      </c>
      <c r="C582" s="21" t="str">
        <f>IFERROR(__xludf.DUMMYFUNCTION("""COMPUTED_VALUE"""),"Kelly Fremon Craig")</f>
        <v>Kelly Fremon Craig</v>
      </c>
      <c r="D582" s="21" t="str">
        <f>IFERROR(__xludf.DUMMYFUNCTION("""COMPUTED_VALUE"""),"2016")</f>
        <v>2016</v>
      </c>
    </row>
    <row r="583" ht="15.75" customHeight="1">
      <c r="A583" s="9">
        <v>582.0</v>
      </c>
      <c r="B583" s="21" t="str">
        <f>IFERROR(__xludf.DUMMYFUNCTION("""COMPUTED_VALUE"""),"Elvis &amp; Nixon")</f>
        <v>Elvis &amp; Nixon</v>
      </c>
      <c r="C583" s="21" t="str">
        <f>IFERROR(__xludf.DUMMYFUNCTION("""COMPUTED_VALUE"""),"Liza Johnson")</f>
        <v>Liza Johnson</v>
      </c>
      <c r="D583" s="21" t="str">
        <f>IFERROR(__xludf.DUMMYFUNCTION("""COMPUTED_VALUE"""),"2016")</f>
        <v>2016</v>
      </c>
    </row>
    <row r="584" ht="15.75" customHeight="1">
      <c r="A584" s="9">
        <v>583.0</v>
      </c>
      <c r="B584" s="21" t="str">
        <f>IFERROR(__xludf.DUMMYFUNCTION("""COMPUTED_VALUE"""),"In the Radiant City")</f>
        <v>In the Radiant City</v>
      </c>
      <c r="C584" s="21" t="str">
        <f>IFERROR(__xludf.DUMMYFUNCTION("""COMPUTED_VALUE"""),"Rachel Lambert")</f>
        <v>Rachel Lambert</v>
      </c>
      <c r="D584" s="21" t="str">
        <f>IFERROR(__xludf.DUMMYFUNCTION("""COMPUTED_VALUE"""),"2016")</f>
        <v>2016</v>
      </c>
    </row>
    <row r="585" ht="15.75" customHeight="1">
      <c r="A585" s="9">
        <v>584.0</v>
      </c>
      <c r="B585" s="21" t="str">
        <f>IFERROR(__xludf.DUMMYFUNCTION("""COMPUTED_VALUE"""),"The Love Witch")</f>
        <v>The Love Witch</v>
      </c>
      <c r="C585" s="21" t="str">
        <f>IFERROR(__xludf.DUMMYFUNCTION("""COMPUTED_VALUE"""),"Anna Biller")</f>
        <v>Anna Biller</v>
      </c>
      <c r="D585" s="21" t="str">
        <f>IFERROR(__xludf.DUMMYFUNCTION("""COMPUTED_VALUE"""),"2016")</f>
        <v>2016</v>
      </c>
    </row>
    <row r="586" ht="15.75" customHeight="1">
      <c r="A586" s="9">
        <v>585.0</v>
      </c>
      <c r="B586" s="21" t="str">
        <f>IFERROR(__xludf.DUMMYFUNCTION("""COMPUTED_VALUE"""),"The Night Stalker")</f>
        <v>The Night Stalker</v>
      </c>
      <c r="C586" s="21" t="str">
        <f>IFERROR(__xludf.DUMMYFUNCTION("""COMPUTED_VALUE"""),"Megan Griffiths")</f>
        <v>Megan Griffiths</v>
      </c>
      <c r="D586" s="21" t="str">
        <f>IFERROR(__xludf.DUMMYFUNCTION("""COMPUTED_VALUE"""),"2016")</f>
        <v>2016</v>
      </c>
    </row>
    <row r="587" ht="15.75" customHeight="1">
      <c r="A587" s="9">
        <v>586.0</v>
      </c>
      <c r="B587" s="21" t="str">
        <f>IFERROR(__xludf.DUMMYFUNCTION("""COMPUTED_VALUE"""),"Our Kind of Traitor")</f>
        <v>Our Kind of Traitor</v>
      </c>
      <c r="C587" s="21" t="str">
        <f>IFERROR(__xludf.DUMMYFUNCTION("""COMPUTED_VALUE"""),"Susanna White")</f>
        <v>Susanna White</v>
      </c>
      <c r="D587" s="21" t="str">
        <f>IFERROR(__xludf.DUMMYFUNCTION("""COMPUTED_VALUE"""),"2016")</f>
        <v>2016</v>
      </c>
    </row>
    <row r="588" ht="15.75" customHeight="1">
      <c r="A588" s="9">
        <v>587.0</v>
      </c>
      <c r="B588" s="21" t="str">
        <f>IFERROR(__xludf.DUMMYFUNCTION("""COMPUTED_VALUE"""),"Prevenge")</f>
        <v>Prevenge</v>
      </c>
      <c r="C588" s="21" t="str">
        <f>IFERROR(__xludf.DUMMYFUNCTION("""COMPUTED_VALUE"""),"Alice Lowe")</f>
        <v>Alice Lowe</v>
      </c>
      <c r="D588" s="21" t="str">
        <f>IFERROR(__xludf.DUMMYFUNCTION("""COMPUTED_VALUE"""),"2016")</f>
        <v>2016</v>
      </c>
    </row>
    <row r="589" ht="15.75" customHeight="1">
      <c r="A589" s="9">
        <v>588.0</v>
      </c>
      <c r="B589" s="21" t="str">
        <f>IFERROR(__xludf.DUMMYFUNCTION("""COMPUTED_VALUE"""),"Queen of Katwe")</f>
        <v>Queen of Katwe</v>
      </c>
      <c r="C589" s="21" t="str">
        <f>IFERROR(__xludf.DUMMYFUNCTION("""COMPUTED_VALUE"""),"Mira Nair")</f>
        <v>Mira Nair</v>
      </c>
      <c r="D589" s="21" t="str">
        <f>IFERROR(__xludf.DUMMYFUNCTION("""COMPUTED_VALUE"""),"2016")</f>
        <v>2016</v>
      </c>
    </row>
    <row r="590" ht="15.75" customHeight="1">
      <c r="A590" s="9">
        <v>589.0</v>
      </c>
      <c r="B590" s="21" t="str">
        <f>IFERROR(__xludf.DUMMYFUNCTION("""COMPUTED_VALUE"""),"Raw")</f>
        <v>Raw</v>
      </c>
      <c r="C590" s="21" t="str">
        <f>IFERROR(__xludf.DUMMYFUNCTION("""COMPUTED_VALUE"""),"Julia Ducournau")</f>
        <v>Julia Ducournau</v>
      </c>
      <c r="D590" s="21" t="str">
        <f>IFERROR(__xludf.DUMMYFUNCTION("""COMPUTED_VALUE"""),"2016")</f>
        <v>2016</v>
      </c>
    </row>
    <row r="591" ht="15.75" customHeight="1">
      <c r="A591" s="9">
        <v>590.0</v>
      </c>
      <c r="B591" s="21" t="str">
        <f>IFERROR(__xludf.DUMMYFUNCTION("""COMPUTED_VALUE"""),"Sami Blood")</f>
        <v>Sami Blood</v>
      </c>
      <c r="C591" s="21" t="str">
        <f>IFERROR(__xludf.DUMMYFUNCTION("""COMPUTED_VALUE"""),"Amanda Kernell")</f>
        <v>Amanda Kernell</v>
      </c>
      <c r="D591" s="21" t="str">
        <f>IFERROR(__xludf.DUMMYFUNCTION("""COMPUTED_VALUE"""),"2016")</f>
        <v>2016</v>
      </c>
    </row>
    <row r="592" ht="15.75" customHeight="1">
      <c r="A592" s="9">
        <v>591.0</v>
      </c>
      <c r="B592" s="21" t="str">
        <f>IFERROR(__xludf.DUMMYFUNCTION("""COMPUTED_VALUE"""),"SMS für Dich")</f>
        <v>SMS für Dich</v>
      </c>
      <c r="C592" s="21" t="str">
        <f>IFERROR(__xludf.DUMMYFUNCTION("""COMPUTED_VALUE"""),"Karoline Herfurth")</f>
        <v>Karoline Herfurth</v>
      </c>
      <c r="D592" s="21" t="str">
        <f>IFERROR(__xludf.DUMMYFUNCTION("""COMPUTED_VALUE"""),"2016")</f>
        <v>2016</v>
      </c>
    </row>
    <row r="593" ht="15.75" customHeight="1">
      <c r="A593" s="9">
        <v>592.0</v>
      </c>
      <c r="B593" s="21" t="str">
        <f>IFERROR(__xludf.DUMMYFUNCTION("""COMPUTED_VALUE"""),"Strange Weather")</f>
        <v>Strange Weather</v>
      </c>
      <c r="C593" s="21" t="str">
        <f>IFERROR(__xludf.DUMMYFUNCTION("""COMPUTED_VALUE"""),"Katherine Dieckmann")</f>
        <v>Katherine Dieckmann</v>
      </c>
      <c r="D593" s="21" t="str">
        <f>IFERROR(__xludf.DUMMYFUNCTION("""COMPUTED_VALUE"""),"2016")</f>
        <v>2016</v>
      </c>
    </row>
    <row r="594" ht="15.75" customHeight="1">
      <c r="A594" s="9">
        <v>593.0</v>
      </c>
      <c r="B594" s="21" t="str">
        <f>IFERROR(__xludf.DUMMYFUNCTION("""COMPUTED_VALUE"""),"Their Finest")</f>
        <v>Their Finest</v>
      </c>
      <c r="C594" s="21" t="str">
        <f>IFERROR(__xludf.DUMMYFUNCTION("""COMPUTED_VALUE"""),"Lone Scherfig")</f>
        <v>Lone Scherfig</v>
      </c>
      <c r="D594" s="21" t="str">
        <f>IFERROR(__xludf.DUMMYFUNCTION("""COMPUTED_VALUE"""),"2016")</f>
        <v>2016</v>
      </c>
    </row>
    <row r="595" ht="15.75" customHeight="1">
      <c r="A595" s="9">
        <v>594.0</v>
      </c>
      <c r="B595" s="21" t="str">
        <f>IFERROR(__xludf.DUMMYFUNCTION("""COMPUTED_VALUE"""),"Things to Come")</f>
        <v>Things to Come</v>
      </c>
      <c r="C595" s="21" t="str">
        <f>IFERROR(__xludf.DUMMYFUNCTION("""COMPUTED_VALUE"""),"Mia Hansen-Love")</f>
        <v>Mia Hansen-Love</v>
      </c>
      <c r="D595" s="21" t="str">
        <f>IFERROR(__xludf.DUMMYFUNCTION("""COMPUTED_VALUE"""),"2016")</f>
        <v>2016</v>
      </c>
    </row>
    <row r="596" ht="15.75" customHeight="1">
      <c r="A596" s="9">
        <v>595.0</v>
      </c>
      <c r="B596" s="21" t="str">
        <f>IFERROR(__xludf.DUMMYFUNCTION("""COMPUTED_VALUE"""),"Toni Erdmann")</f>
        <v>Toni Erdmann</v>
      </c>
      <c r="C596" s="21" t="str">
        <f>IFERROR(__xludf.DUMMYFUNCTION("""COMPUTED_VALUE"""),"Maren Ade")</f>
        <v>Maren Ade</v>
      </c>
      <c r="D596" s="21" t="str">
        <f>IFERROR(__xludf.DUMMYFUNCTION("""COMPUTED_VALUE"""),"2016")</f>
        <v>2016</v>
      </c>
    </row>
    <row r="597" ht="15.75" customHeight="1">
      <c r="A597" s="9">
        <v>596.0</v>
      </c>
      <c r="B597" s="21" t="str">
        <f>IFERROR(__xludf.DUMMYFUNCTION("""COMPUTED_VALUE"""),"We Used to Be Cool")</f>
        <v>We Used to Be Cool</v>
      </c>
      <c r="C597" s="21" t="str">
        <f>IFERROR(__xludf.DUMMYFUNCTION("""COMPUTED_VALUE"""),"Marie Kreutzer")</f>
        <v>Marie Kreutzer</v>
      </c>
      <c r="D597" s="21" t="str">
        <f>IFERROR(__xludf.DUMMYFUNCTION("""COMPUTED_VALUE"""),"2016")</f>
        <v>2016</v>
      </c>
    </row>
    <row r="598" ht="15.75" customHeight="1">
      <c r="A598" s="9">
        <v>597.0</v>
      </c>
      <c r="B598" s="21" t="str">
        <f>IFERROR(__xludf.DUMMYFUNCTION("""COMPUTED_VALUE"""),"White Girl")</f>
        <v>White Girl</v>
      </c>
      <c r="C598" s="21" t="str">
        <f>IFERROR(__xludf.DUMMYFUNCTION("""COMPUTED_VALUE"""),"Elizabeth Wood")</f>
        <v>Elizabeth Wood</v>
      </c>
      <c r="D598" s="21" t="str">
        <f>IFERROR(__xludf.DUMMYFUNCTION("""COMPUTED_VALUE"""),"2016")</f>
        <v>2016</v>
      </c>
    </row>
    <row r="599" ht="15.75" customHeight="1">
      <c r="A599" s="9">
        <v>598.0</v>
      </c>
      <c r="B599" s="21" t="str">
        <f>IFERROR(__xludf.DUMMYFUNCTION("""COMPUTED_VALUE"""),"The Whole Truth")</f>
        <v>The Whole Truth</v>
      </c>
      <c r="C599" s="21" t="str">
        <f>IFERROR(__xludf.DUMMYFUNCTION("""COMPUTED_VALUE"""),"Courtney Hunt")</f>
        <v>Courtney Hunt</v>
      </c>
      <c r="D599" s="21" t="str">
        <f>IFERROR(__xludf.DUMMYFUNCTION("""COMPUTED_VALUE"""),"2016")</f>
        <v>2016</v>
      </c>
    </row>
    <row r="600" ht="15.75" customHeight="1">
      <c r="A600" s="9">
        <v>599.0</v>
      </c>
      <c r="B600" s="21" t="str">
        <f>IFERROR(__xludf.DUMMYFUNCTION("""COMPUTED_VALUE"""),"Women Who Kill")</f>
        <v>Women Who Kill</v>
      </c>
      <c r="C600" s="21" t="str">
        <f>IFERROR(__xludf.DUMMYFUNCTION("""COMPUTED_VALUE"""),"Ingrid Jungermann")</f>
        <v>Ingrid Jungermann</v>
      </c>
      <c r="D600" s="21" t="str">
        <f>IFERROR(__xludf.DUMMYFUNCTION("""COMPUTED_VALUE"""),"2016")</f>
        <v>2016</v>
      </c>
    </row>
    <row r="601" ht="15.75" customHeight="1">
      <c r="A601" s="9">
        <v>600.0</v>
      </c>
      <c r="B601" s="21" t="str">
        <f>IFERROR(__xludf.DUMMYFUNCTION("""COMPUTED_VALUE"""),"Band Aid")</f>
        <v>Band Aid</v>
      </c>
      <c r="C601" s="21" t="str">
        <f>IFERROR(__xludf.DUMMYFUNCTION("""COMPUTED_VALUE"""),"Zoe Lister-Jones")</f>
        <v>Zoe Lister-Jones</v>
      </c>
      <c r="D601" s="21" t="str">
        <f>IFERROR(__xludf.DUMMYFUNCTION("""COMPUTED_VALUE"""),"2017")</f>
        <v>2017</v>
      </c>
    </row>
    <row r="602" ht="15.75" customHeight="1">
      <c r="A602" s="9">
        <v>601.0</v>
      </c>
      <c r="B602" s="21" t="str">
        <f>IFERROR(__xludf.DUMMYFUNCTION("""COMPUTED_VALUE"""),"Beach Rats")</f>
        <v>Beach Rats</v>
      </c>
      <c r="C602" s="21" t="str">
        <f>IFERROR(__xludf.DUMMYFUNCTION("""COMPUTED_VALUE"""),"Eliza Hittman")</f>
        <v>Eliza Hittman</v>
      </c>
      <c r="D602" s="21" t="str">
        <f>IFERROR(__xludf.DUMMYFUNCTION("""COMPUTED_VALUE"""),"2017")</f>
        <v>2017</v>
      </c>
    </row>
    <row r="603" ht="15.75" customHeight="1">
      <c r="A603" s="9">
        <v>602.0</v>
      </c>
      <c r="B603" s="21" t="str">
        <f>IFERROR(__xludf.DUMMYFUNCTION("""COMPUTED_VALUE"""),"The Beguiled")</f>
        <v>The Beguiled</v>
      </c>
      <c r="C603" s="21" t="str">
        <f>IFERROR(__xludf.DUMMYFUNCTION("""COMPUTED_VALUE"""),"Sofia Coppola")</f>
        <v>Sofia Coppola</v>
      </c>
      <c r="D603" s="21" t="str">
        <f>IFERROR(__xludf.DUMMYFUNCTION("""COMPUTED_VALUE"""),"2017")</f>
        <v>2017</v>
      </c>
    </row>
    <row r="604" ht="15.75" customHeight="1">
      <c r="A604" s="9">
        <v>603.0</v>
      </c>
      <c r="B604" s="21" t="str">
        <f>IFERROR(__xludf.DUMMYFUNCTION("""COMPUTED_VALUE"""),"Berlin Syndrome")</f>
        <v>Berlin Syndrome</v>
      </c>
      <c r="C604" s="21" t="str">
        <f>IFERROR(__xludf.DUMMYFUNCTION("""COMPUTED_VALUE"""),"Cate Shortland")</f>
        <v>Cate Shortland</v>
      </c>
      <c r="D604" s="21" t="str">
        <f>IFERROR(__xludf.DUMMYFUNCTION("""COMPUTED_VALUE"""),"2017")</f>
        <v>2017</v>
      </c>
    </row>
    <row r="605" ht="15.75" customHeight="1">
      <c r="A605" s="9">
        <v>604.0</v>
      </c>
      <c r="B605" s="21" t="str">
        <f>IFERROR(__xludf.DUMMYFUNCTION("""COMPUTED_VALUE"""),"The Boy Downstairs")</f>
        <v>The Boy Downstairs</v>
      </c>
      <c r="C605" s="21" t="str">
        <f>IFERROR(__xludf.DUMMYFUNCTION("""COMPUTED_VALUE"""),"Sophie Brooks")</f>
        <v>Sophie Brooks</v>
      </c>
      <c r="D605" s="21" t="str">
        <f>IFERROR(__xludf.DUMMYFUNCTION("""COMPUTED_VALUE"""),"2017")</f>
        <v>2017</v>
      </c>
    </row>
    <row r="606" ht="15.75" customHeight="1">
      <c r="A606" s="9">
        <v>605.0</v>
      </c>
      <c r="B606" s="21" t="str">
        <f>IFERROR(__xludf.DUMMYFUNCTION("""COMPUTED_VALUE"""),"Detroit")</f>
        <v>Detroit</v>
      </c>
      <c r="C606" s="21" t="str">
        <f>IFERROR(__xludf.DUMMYFUNCTION("""COMPUTED_VALUE"""),"Kathryn Bigelow")</f>
        <v>Kathryn Bigelow</v>
      </c>
      <c r="D606" s="21" t="str">
        <f>IFERROR(__xludf.DUMMYFUNCTION("""COMPUTED_VALUE"""),"2017")</f>
        <v>2017</v>
      </c>
    </row>
    <row r="607" ht="15.75" customHeight="1">
      <c r="A607" s="9">
        <v>606.0</v>
      </c>
      <c r="B607" s="21" t="str">
        <f>IFERROR(__xludf.DUMMYFUNCTION("""COMPUTED_VALUE"""),"The Feels")</f>
        <v>The Feels</v>
      </c>
      <c r="C607" s="21" t="str">
        <f>IFERROR(__xludf.DUMMYFUNCTION("""COMPUTED_VALUE"""),"Jenée LaMarque")</f>
        <v>Jenée LaMarque</v>
      </c>
      <c r="D607" s="21" t="str">
        <f>IFERROR(__xludf.DUMMYFUNCTION("""COMPUTED_VALUE"""),"2017")</f>
        <v>2017</v>
      </c>
    </row>
    <row r="608" ht="15.75" customHeight="1">
      <c r="A608" s="9">
        <v>607.0</v>
      </c>
      <c r="B608" s="21" t="str">
        <f>IFERROR(__xludf.DUMMYFUNCTION("""COMPUTED_VALUE"""),"Faces Places")</f>
        <v>Faces Places</v>
      </c>
      <c r="C608" s="21" t="str">
        <f>IFERROR(__xludf.DUMMYFUNCTION("""COMPUTED_VALUE"""),"Agnès Varda")</f>
        <v>Agnès Varda</v>
      </c>
      <c r="D608" s="21" t="str">
        <f>IFERROR(__xludf.DUMMYFUNCTION("""COMPUTED_VALUE"""),"2017")</f>
        <v>2017</v>
      </c>
    </row>
    <row r="609" ht="15.75" customHeight="1">
      <c r="A609" s="9">
        <v>608.0</v>
      </c>
      <c r="B609" s="21" t="str">
        <f>IFERROR(__xludf.DUMMYFUNCTION("""COMPUTED_VALUE"""),"First they Killed My Father")</f>
        <v>First they Killed My Father</v>
      </c>
      <c r="C609" s="21" t="str">
        <f>IFERROR(__xludf.DUMMYFUNCTION("""COMPUTED_VALUE"""),"Angelina Jolie")</f>
        <v>Angelina Jolie</v>
      </c>
      <c r="D609" s="21" t="str">
        <f>IFERROR(__xludf.DUMMYFUNCTION("""COMPUTED_VALUE"""),"2017")</f>
        <v>2017</v>
      </c>
    </row>
    <row r="610" ht="15.75" customHeight="1">
      <c r="A610" s="9">
        <v>609.0</v>
      </c>
      <c r="B610" s="21" t="str">
        <f>IFERROR(__xludf.DUMMYFUNCTION("""COMPUTED_VALUE"""),"The Institute")</f>
        <v>The Institute</v>
      </c>
      <c r="C610" s="21" t="str">
        <f>IFERROR(__xludf.DUMMYFUNCTION("""COMPUTED_VALUE"""),"Pamela Romanowsky, co-directed with James Franco")</f>
        <v>Pamela Romanowsky, co-directed with James Franco</v>
      </c>
      <c r="D610" s="21" t="str">
        <f>IFERROR(__xludf.DUMMYFUNCTION("""COMPUTED_VALUE"""),"2017")</f>
        <v>2017</v>
      </c>
    </row>
    <row r="611" ht="15.75" customHeight="1">
      <c r="A611" s="9">
        <v>610.0</v>
      </c>
      <c r="B611" s="21" t="str">
        <f>IFERROR(__xludf.DUMMYFUNCTION("""COMPUTED_VALUE"""),"The Keeping Hours")</f>
        <v>The Keeping Hours</v>
      </c>
      <c r="C611" s="21" t="str">
        <f>IFERROR(__xludf.DUMMYFUNCTION("""COMPUTED_VALUE"""),"Karen Moncrieff")</f>
        <v>Karen Moncrieff</v>
      </c>
      <c r="D611" s="21" t="str">
        <f>IFERROR(__xludf.DUMMYFUNCTION("""COMPUTED_VALUE"""),"2017")</f>
        <v>2017</v>
      </c>
    </row>
    <row r="612" ht="15.75" customHeight="1">
      <c r="A612" s="9">
        <v>611.0</v>
      </c>
      <c r="B612" s="21" t="str">
        <f>IFERROR(__xludf.DUMMYFUNCTION("""COMPUTED_VALUE"""),"Lady Bird")</f>
        <v>Lady Bird</v>
      </c>
      <c r="C612" s="21" t="str">
        <f>IFERROR(__xludf.DUMMYFUNCTION("""COMPUTED_VALUE"""),"Greta Gerwig")</f>
        <v>Greta Gerwig</v>
      </c>
      <c r="D612" s="21" t="str">
        <f>IFERROR(__xludf.DUMMYFUNCTION("""COMPUTED_VALUE"""),"2017")</f>
        <v>2017</v>
      </c>
    </row>
    <row r="613" ht="15.75" customHeight="1">
      <c r="A613" s="9">
        <v>612.0</v>
      </c>
      <c r="B613" s="21" t="str">
        <f>IFERROR(__xludf.DUMMYFUNCTION("""COMPUTED_VALUE"""),"Landline")</f>
        <v>Landline</v>
      </c>
      <c r="C613" s="21" t="str">
        <f>IFERROR(__xludf.DUMMYFUNCTION("""COMPUTED_VALUE"""),"Gillian Robespierre")</f>
        <v>Gillian Robespierre</v>
      </c>
      <c r="D613" s="21" t="str">
        <f>IFERROR(__xludf.DUMMYFUNCTION("""COMPUTED_VALUE"""),"2017")</f>
        <v>2017</v>
      </c>
    </row>
    <row r="614" ht="15.75" customHeight="1">
      <c r="A614" s="9">
        <v>613.0</v>
      </c>
      <c r="B614" s="21" t="str">
        <f>IFERROR(__xludf.DUMMYFUNCTION("""COMPUTED_VALUE"""),"Lemon")</f>
        <v>Lemon</v>
      </c>
      <c r="C614" s="21" t="str">
        <f>IFERROR(__xludf.DUMMYFUNCTION("""COMPUTED_VALUE"""),"Janicza Bravo")</f>
        <v>Janicza Bravo</v>
      </c>
      <c r="D614" s="21" t="str">
        <f>IFERROR(__xludf.DUMMYFUNCTION("""COMPUTED_VALUE"""),"2017")</f>
        <v>2017</v>
      </c>
    </row>
    <row r="615" ht="15.75" customHeight="1">
      <c r="A615" s="9">
        <v>614.0</v>
      </c>
      <c r="B615" s="21" t="str">
        <f>IFERROR(__xludf.DUMMYFUNCTION("""COMPUTED_VALUE"""),"Let the Sunshine In")</f>
        <v>Let the Sunshine In</v>
      </c>
      <c r="C615" s="21" t="str">
        <f>IFERROR(__xludf.DUMMYFUNCTION("""COMPUTED_VALUE"""),"Claire Denis")</f>
        <v>Claire Denis</v>
      </c>
      <c r="D615" s="21" t="str">
        <f>IFERROR(__xludf.DUMMYFUNCTION("""COMPUTED_VALUE"""),"2017")</f>
        <v>2017</v>
      </c>
    </row>
    <row r="616" ht="15.75" customHeight="1">
      <c r="A616" s="9">
        <v>615.0</v>
      </c>
      <c r="B616" s="21" t="str">
        <f>IFERROR(__xludf.DUMMYFUNCTION("""COMPUTED_VALUE"""),"M.F.A.")</f>
        <v>M.F.A.</v>
      </c>
      <c r="C616" s="21" t="str">
        <f>IFERROR(__xludf.DUMMYFUNCTION("""COMPUTED_VALUE"""),"Natalia Leite")</f>
        <v>Natalia Leite</v>
      </c>
      <c r="D616" s="21" t="str">
        <f>IFERROR(__xludf.DUMMYFUNCTION("""COMPUTED_VALUE"""),"2017")</f>
        <v>2017</v>
      </c>
    </row>
    <row r="617" ht="15.75" customHeight="1">
      <c r="A617" s="9">
        <v>616.0</v>
      </c>
      <c r="B617" s="21" t="str">
        <f>IFERROR(__xludf.DUMMYFUNCTION("""COMPUTED_VALUE"""),"Mary Shelley")</f>
        <v>Mary Shelley</v>
      </c>
      <c r="C617" s="21" t="str">
        <f>IFERROR(__xludf.DUMMYFUNCTION("""COMPUTED_VALUE"""),"Haifaa al-Mansour")</f>
        <v>Haifaa al-Mansour</v>
      </c>
      <c r="D617" s="21" t="str">
        <f>IFERROR(__xludf.DUMMYFUNCTION("""COMPUTED_VALUE"""),"2017")</f>
        <v>2017</v>
      </c>
    </row>
    <row r="618" ht="15.75" customHeight="1">
      <c r="A618" s="9">
        <v>617.0</v>
      </c>
      <c r="B618" s="21" t="str">
        <f>IFERROR(__xludf.DUMMYFUNCTION("""COMPUTED_VALUE"""),"Maya Dardel")</f>
        <v>Maya Dardel</v>
      </c>
      <c r="C618" s="21" t="str">
        <f>IFERROR(__xludf.DUMMYFUNCTION("""COMPUTED_VALUE"""),"Magdalena Zyzak")</f>
        <v>Magdalena Zyzak</v>
      </c>
      <c r="D618" s="21" t="str">
        <f>IFERROR(__xludf.DUMMYFUNCTION("""COMPUTED_VALUE"""),"2017")</f>
        <v>2017</v>
      </c>
    </row>
    <row r="619" ht="15.75" customHeight="1">
      <c r="A619" s="9">
        <v>618.0</v>
      </c>
      <c r="B619" s="21" t="str">
        <f>IFERROR(__xludf.DUMMYFUNCTION("""COMPUTED_VALUE"""),"Novitiate")</f>
        <v>Novitiate</v>
      </c>
      <c r="C619" s="21" t="str">
        <f>IFERROR(__xludf.DUMMYFUNCTION("""COMPUTED_VALUE"""),"Maggie Betts")</f>
        <v>Maggie Betts</v>
      </c>
      <c r="D619" s="21" t="str">
        <f>IFERROR(__xludf.DUMMYFUNCTION("""COMPUTED_VALUE"""),"2017")</f>
        <v>2017</v>
      </c>
    </row>
    <row r="620" ht="15.75" customHeight="1">
      <c r="A620" s="9">
        <v>619.0</v>
      </c>
      <c r="B620" s="21" t="str">
        <f>IFERROR(__xludf.DUMMYFUNCTION("""COMPUTED_VALUE"""),"Outside In")</f>
        <v>Outside In</v>
      </c>
      <c r="C620" s="21" t="str">
        <f>IFERROR(__xludf.DUMMYFUNCTION("""COMPUTED_VALUE"""),"Lynn Shelton")</f>
        <v>Lynn Shelton</v>
      </c>
      <c r="D620" s="21" t="str">
        <f>IFERROR(__xludf.DUMMYFUNCTION("""COMPUTED_VALUE"""),"2017")</f>
        <v>2017</v>
      </c>
    </row>
    <row r="621" ht="15.75" customHeight="1">
      <c r="A621" s="9">
        <v>620.0</v>
      </c>
      <c r="B621" s="21" t="str">
        <f>IFERROR(__xludf.DUMMYFUNCTION("""COMPUTED_VALUE"""),"The Party")</f>
        <v>The Party</v>
      </c>
      <c r="C621" s="21" t="str">
        <f>IFERROR(__xludf.DUMMYFUNCTION("""COMPUTED_VALUE"""),"Sally Potter")</f>
        <v>Sally Potter</v>
      </c>
      <c r="D621" s="21" t="str">
        <f>IFERROR(__xludf.DUMMYFUNCTION("""COMPUTED_VALUE"""),"2017")</f>
        <v>2017</v>
      </c>
    </row>
    <row r="622" ht="15.75" customHeight="1">
      <c r="A622" s="9">
        <v>621.0</v>
      </c>
      <c r="B622" s="21" t="str">
        <f>IFERROR(__xludf.DUMMYFUNCTION("""COMPUTED_VALUE"""),"Professor Marston and the Wonder Women")</f>
        <v>Professor Marston and the Wonder Women</v>
      </c>
      <c r="C622" s="21" t="str">
        <f>IFERROR(__xludf.DUMMYFUNCTION("""COMPUTED_VALUE"""),"Angela Robinson")</f>
        <v>Angela Robinson</v>
      </c>
      <c r="D622" s="21" t="str">
        <f>IFERROR(__xludf.DUMMYFUNCTION("""COMPUTED_VALUE"""),"2017")</f>
        <v>2017</v>
      </c>
    </row>
    <row r="623" ht="15.75" customHeight="1">
      <c r="A623" s="9">
        <v>622.0</v>
      </c>
      <c r="B623" s="21" t="str">
        <f>IFERROR(__xludf.DUMMYFUNCTION("""COMPUTED_VALUE"""),"Revenge")</f>
        <v>Revenge</v>
      </c>
      <c r="C623" s="21" t="str">
        <f>IFERROR(__xludf.DUMMYFUNCTION("""COMPUTED_VALUE"""),"Coralie Fargeat")</f>
        <v>Coralie Fargeat</v>
      </c>
      <c r="D623" s="21" t="str">
        <f>IFERROR(__xludf.DUMMYFUNCTION("""COMPUTED_VALUE"""),"2017")</f>
        <v>2017</v>
      </c>
    </row>
    <row r="624" ht="15.75" customHeight="1">
      <c r="A624" s="9">
        <v>623.0</v>
      </c>
      <c r="B624" s="21" t="str">
        <f>IFERROR(__xludf.DUMMYFUNCTION("""COMPUTED_VALUE"""),"The Rider")</f>
        <v>The Rider</v>
      </c>
      <c r="C624" s="21" t="str">
        <f>IFERROR(__xludf.DUMMYFUNCTION("""COMPUTED_VALUE"""),"Chloé Zhao")</f>
        <v>Chloé Zhao</v>
      </c>
      <c r="D624" s="21" t="str">
        <f>IFERROR(__xludf.DUMMYFUNCTION("""COMPUTED_VALUE"""),"2017")</f>
        <v>2017</v>
      </c>
    </row>
    <row r="625" ht="15.75" customHeight="1">
      <c r="A625" s="9">
        <v>624.0</v>
      </c>
      <c r="B625" s="21" t="str">
        <f>IFERROR(__xludf.DUMMYFUNCTION("""COMPUTED_VALUE"""),"Rough Night")</f>
        <v>Rough Night</v>
      </c>
      <c r="C625" s="21" t="str">
        <f>IFERROR(__xludf.DUMMYFUNCTION("""COMPUTED_VALUE"""),"Lucia Aniello")</f>
        <v>Lucia Aniello</v>
      </c>
      <c r="D625" s="21" t="str">
        <f>IFERROR(__xludf.DUMMYFUNCTION("""COMPUTED_VALUE"""),"2017")</f>
        <v>2017</v>
      </c>
    </row>
    <row r="626" ht="15.75" customHeight="1">
      <c r="A626" s="9">
        <v>625.0</v>
      </c>
      <c r="B626" s="21" t="str">
        <f>IFERROR(__xludf.DUMMYFUNCTION("""COMPUTED_VALUE"""),"Spoor (Pokot)")</f>
        <v>Spoor (Pokot)</v>
      </c>
      <c r="C626" s="21" t="str">
        <f>IFERROR(__xludf.DUMMYFUNCTION("""COMPUTED_VALUE"""),"Agnieszka Holland")</f>
        <v>Agnieszka Holland</v>
      </c>
      <c r="D626" s="21" t="str">
        <f>IFERROR(__xludf.DUMMYFUNCTION("""COMPUTED_VALUE"""),"2017")</f>
        <v>2017</v>
      </c>
    </row>
    <row r="627" ht="15.75" customHeight="1">
      <c r="A627" s="9">
        <v>626.0</v>
      </c>
      <c r="B627" s="21" t="str">
        <f>IFERROR(__xludf.DUMMYFUNCTION("""COMPUTED_VALUE"""),"The Wasting")</f>
        <v>The Wasting</v>
      </c>
      <c r="C627" s="21" t="str">
        <f>IFERROR(__xludf.DUMMYFUNCTION("""COMPUTED_VALUE"""),"Carolyn Saunders")</f>
        <v>Carolyn Saunders</v>
      </c>
      <c r="D627" s="21" t="str">
        <f>IFERROR(__xludf.DUMMYFUNCTION("""COMPUTED_VALUE"""),"2017")</f>
        <v>2017</v>
      </c>
    </row>
    <row r="628" ht="15.75" customHeight="1">
      <c r="A628" s="9">
        <v>627.0</v>
      </c>
      <c r="B628" s="21" t="str">
        <f>IFERROR(__xludf.DUMMYFUNCTION("""COMPUTED_VALUE"""),"Woman Walks Ahead")</f>
        <v>Woman Walks Ahead</v>
      </c>
      <c r="C628" s="21" t="str">
        <f>IFERROR(__xludf.DUMMYFUNCTION("""COMPUTED_VALUE"""),"Susanna White")</f>
        <v>Susanna White</v>
      </c>
      <c r="D628" s="21" t="str">
        <f>IFERROR(__xludf.DUMMYFUNCTION("""COMPUTED_VALUE"""),"2017")</f>
        <v>2017</v>
      </c>
    </row>
    <row r="629" ht="15.75" customHeight="1">
      <c r="A629" s="9">
        <v>628.0</v>
      </c>
      <c r="B629" s="21" t="str">
        <f>IFERROR(__xludf.DUMMYFUNCTION("""COMPUTED_VALUE"""),"Wonder Woman")</f>
        <v>Wonder Woman</v>
      </c>
      <c r="C629" s="21" t="str">
        <f>IFERROR(__xludf.DUMMYFUNCTION("""COMPUTED_VALUE"""),"Patty Jenkins")</f>
        <v>Patty Jenkins</v>
      </c>
      <c r="D629" s="21" t="str">
        <f>IFERROR(__xludf.DUMMYFUNCTION("""COMPUTED_VALUE"""),"2017")</f>
        <v>2017</v>
      </c>
    </row>
    <row r="630" ht="15.75" customHeight="1">
      <c r="A630" s="9">
        <v>629.0</v>
      </c>
      <c r="B630" s="21" t="str">
        <f>IFERROR(__xludf.DUMMYFUNCTION("""COMPUTED_VALUE"""),"You Were Never Really Here")</f>
        <v>You Were Never Really Here</v>
      </c>
      <c r="C630" s="21" t="str">
        <f>IFERROR(__xludf.DUMMYFUNCTION("""COMPUTED_VALUE"""),"Lynne Ramsay")</f>
        <v>Lynne Ramsay</v>
      </c>
      <c r="D630" s="21" t="str">
        <f>IFERROR(__xludf.DUMMYFUNCTION("""COMPUTED_VALUE"""),"2017")</f>
        <v>2017</v>
      </c>
    </row>
    <row r="631" ht="15.75" customHeight="1">
      <c r="A631" s="9">
        <v>630.0</v>
      </c>
      <c r="B631" s="21" t="str">
        <f>IFERROR(__xludf.DUMMYFUNCTION("""COMPUTED_VALUE"""),"The Zookeeper's Wife")</f>
        <v>The Zookeeper's Wife</v>
      </c>
      <c r="C631" s="21" t="str">
        <f>IFERROR(__xludf.DUMMYFUNCTION("""COMPUTED_VALUE"""),"Niki Caro")</f>
        <v>Niki Caro</v>
      </c>
      <c r="D631" s="21" t="str">
        <f>IFERROR(__xludf.DUMMYFUNCTION("""COMPUTED_VALUE"""),"2017")</f>
        <v>2017</v>
      </c>
    </row>
    <row r="632" ht="15.75" customHeight="1">
      <c r="A632" s="9">
        <v>631.0</v>
      </c>
      <c r="B632" s="21" t="str">
        <f>IFERROR(__xludf.DUMMYFUNCTION("""COMPUTED_VALUE"""),"All About Nina")</f>
        <v>All About Nina</v>
      </c>
      <c r="C632" s="21" t="str">
        <f>IFERROR(__xludf.DUMMYFUNCTION("""COMPUTED_VALUE"""),"Eva Vives")</f>
        <v>Eva Vives</v>
      </c>
      <c r="D632" s="21" t="str">
        <f>IFERROR(__xludf.DUMMYFUNCTION("""COMPUTED_VALUE"""),"2018")</f>
        <v>2018</v>
      </c>
    </row>
    <row r="633" ht="15.75" customHeight="1">
      <c r="A633" s="9">
        <v>632.0</v>
      </c>
      <c r="B633" s="21" t="str">
        <f>IFERROR(__xludf.DUMMYFUNCTION("""COMPUTED_VALUE"""),"An Impossible Love")</f>
        <v>An Impossible Love</v>
      </c>
      <c r="C633" s="21" t="str">
        <f>IFERROR(__xludf.DUMMYFUNCTION("""COMPUTED_VALUE"""),"Catherine Corsini")</f>
        <v>Catherine Corsini</v>
      </c>
      <c r="D633" s="21" t="str">
        <f>IFERROR(__xludf.DUMMYFUNCTION("""COMPUTED_VALUE"""),"2018")</f>
        <v>2018</v>
      </c>
    </row>
    <row r="634" ht="15.75" customHeight="1">
      <c r="A634" s="9">
        <v>633.0</v>
      </c>
      <c r="B634" s="21" t="str">
        <f>IFERROR(__xludf.DUMMYFUNCTION("""COMPUTED_VALUE"""),"Blockers")</f>
        <v>Blockers</v>
      </c>
      <c r="C634" s="21" t="str">
        <f>IFERROR(__xludf.DUMMYFUNCTION("""COMPUTED_VALUE"""),"Kay Cannon")</f>
        <v>Kay Cannon</v>
      </c>
      <c r="D634" s="21" t="str">
        <f>IFERROR(__xludf.DUMMYFUNCTION("""COMPUTED_VALUE"""),"2018")</f>
        <v>2018</v>
      </c>
    </row>
    <row r="635" ht="15.75" customHeight="1">
      <c r="A635" s="9">
        <v>634.0</v>
      </c>
      <c r="B635" s="21" t="str">
        <f>IFERROR(__xludf.DUMMYFUNCTION("""COMPUTED_VALUE"""),"Can You Ever Forgive Me?")</f>
        <v>Can You Ever Forgive Me?</v>
      </c>
      <c r="C635" s="21" t="str">
        <f>IFERROR(__xludf.DUMMYFUNCTION("""COMPUTED_VALUE"""),"Marielle Heller")</f>
        <v>Marielle Heller</v>
      </c>
      <c r="D635" s="21" t="str">
        <f>IFERROR(__xludf.DUMMYFUNCTION("""COMPUTED_VALUE"""),"2018")</f>
        <v>2018</v>
      </c>
    </row>
    <row r="636" ht="15.75" customHeight="1">
      <c r="A636" s="9">
        <v>635.0</v>
      </c>
      <c r="B636" s="21" t="str">
        <f>IFERROR(__xludf.DUMMYFUNCTION("""COMPUTED_VALUE"""),"Charlie Says")</f>
        <v>Charlie Says</v>
      </c>
      <c r="C636" s="21" t="str">
        <f>IFERROR(__xludf.DUMMYFUNCTION("""COMPUTED_VALUE"""),"Mary Harron")</f>
        <v>Mary Harron</v>
      </c>
      <c r="D636" s="21" t="str">
        <f>IFERROR(__xludf.DUMMYFUNCTION("""COMPUTED_VALUE"""),"2018")</f>
        <v>2018</v>
      </c>
    </row>
    <row r="637" ht="15.75" customHeight="1">
      <c r="A637" s="9">
        <v>636.0</v>
      </c>
      <c r="B637" s="21" t="str">
        <f>IFERROR(__xludf.DUMMYFUNCTION("""COMPUTED_VALUE"""),"Dead Pigs")</f>
        <v>Dead Pigs</v>
      </c>
      <c r="C637" s="21" t="str">
        <f>IFERROR(__xludf.DUMMYFUNCTION("""COMPUTED_VALUE"""),"Cathy Yan")</f>
        <v>Cathy Yan</v>
      </c>
      <c r="D637" s="21" t="str">
        <f>IFERROR(__xludf.DUMMYFUNCTION("""COMPUTED_VALUE"""),"2018")</f>
        <v>2018</v>
      </c>
    </row>
    <row r="638" ht="15.75" customHeight="1">
      <c r="A638" s="9">
        <v>637.0</v>
      </c>
      <c r="B638" s="21" t="str">
        <f>IFERROR(__xludf.DUMMYFUNCTION("""COMPUTED_VALUE"""),"Destroyer")</f>
        <v>Destroyer</v>
      </c>
      <c r="C638" s="21" t="str">
        <f>IFERROR(__xludf.DUMMYFUNCTION("""COMPUTED_VALUE"""),"Karyn Kusama")</f>
        <v>Karyn Kusama</v>
      </c>
      <c r="D638" s="21" t="str">
        <f>IFERROR(__xludf.DUMMYFUNCTION("""COMPUTED_VALUE"""),"2018")</f>
        <v>2018</v>
      </c>
    </row>
    <row r="639" ht="15.75" customHeight="1">
      <c r="A639" s="9">
        <v>638.0</v>
      </c>
      <c r="B639" s="21" t="str">
        <f>IFERROR(__xludf.DUMMYFUNCTION("""COMPUTED_VALUE"""),"Family")</f>
        <v>Family</v>
      </c>
      <c r="C639" s="21" t="str">
        <f>IFERROR(__xludf.DUMMYFUNCTION("""COMPUTED_VALUE"""),"Laura Steinel")</f>
        <v>Laura Steinel</v>
      </c>
      <c r="D639" s="21" t="str">
        <f>IFERROR(__xludf.DUMMYFUNCTION("""COMPUTED_VALUE"""),"2018")</f>
        <v>2018</v>
      </c>
    </row>
    <row r="640" ht="15.75" customHeight="1">
      <c r="A640" s="9">
        <v>639.0</v>
      </c>
      <c r="B640" s="21" t="str">
        <f>IFERROR(__xludf.DUMMYFUNCTION("""COMPUTED_VALUE"""),"First Match")</f>
        <v>First Match</v>
      </c>
      <c r="C640" s="21" t="str">
        <f>IFERROR(__xludf.DUMMYFUNCTION("""COMPUTED_VALUE"""),"Olivia Newman")</f>
        <v>Olivia Newman</v>
      </c>
      <c r="D640" s="21" t="str">
        <f>IFERROR(__xludf.DUMMYFUNCTION("""COMPUTED_VALUE"""),"2018")</f>
        <v>2018</v>
      </c>
    </row>
    <row r="641" ht="15.75" customHeight="1">
      <c r="A641" s="9">
        <v>640.0</v>
      </c>
      <c r="B641" s="21" t="str">
        <f>IFERROR(__xludf.DUMMYFUNCTION("""COMPUTED_VALUE"""),"Furlough")</f>
        <v>Furlough</v>
      </c>
      <c r="C641" s="21" t="str">
        <f>IFERROR(__xludf.DUMMYFUNCTION("""COMPUTED_VALUE"""),"Laurie Collyer")</f>
        <v>Laurie Collyer</v>
      </c>
      <c r="D641" s="21" t="str">
        <f>IFERROR(__xludf.DUMMYFUNCTION("""COMPUTED_VALUE"""),"2018")</f>
        <v>2018</v>
      </c>
    </row>
    <row r="642" ht="15.75" customHeight="1">
      <c r="A642" s="9">
        <v>641.0</v>
      </c>
      <c r="B642" s="21" t="str">
        <f>IFERROR(__xludf.DUMMYFUNCTION("""COMPUTED_VALUE"""),"Galveston")</f>
        <v>Galveston</v>
      </c>
      <c r="C642" s="21" t="str">
        <f>IFERROR(__xludf.DUMMYFUNCTION("""COMPUTED_VALUE"""),"Mélanie Laurent")</f>
        <v>Mélanie Laurent</v>
      </c>
      <c r="D642" s="21" t="str">
        <f>IFERROR(__xludf.DUMMYFUNCTION("""COMPUTED_VALUE"""),"2018")</f>
        <v>2018</v>
      </c>
    </row>
    <row r="643" ht="15.75" customHeight="1">
      <c r="A643" s="9">
        <v>642.0</v>
      </c>
      <c r="B643" s="21" t="str">
        <f>IFERROR(__xludf.DUMMYFUNCTION("""COMPUTED_VALUE"""),"Happier Times, Grump")</f>
        <v>Happier Times, Grump</v>
      </c>
      <c r="C643" s="21" t="str">
        <f>IFERROR(__xludf.DUMMYFUNCTION("""COMPUTED_VALUE"""),"Tiina Lymi")</f>
        <v>Tiina Lymi</v>
      </c>
      <c r="D643" s="21" t="str">
        <f>IFERROR(__xludf.DUMMYFUNCTION("""COMPUTED_VALUE"""),"2018")</f>
        <v>2018</v>
      </c>
    </row>
    <row r="644" ht="15.75" customHeight="1">
      <c r="A644" s="9">
        <v>643.0</v>
      </c>
      <c r="B644" s="21" t="str">
        <f>IFERROR(__xludf.DUMMYFUNCTION("""COMPUTED_VALUE"""),"Happy as Lazzaro")</f>
        <v>Happy as Lazzaro</v>
      </c>
      <c r="C644" s="21" t="str">
        <f>IFERROR(__xludf.DUMMYFUNCTION("""COMPUTED_VALUE"""),"Alice Rohrwacher")</f>
        <v>Alice Rohrwacher</v>
      </c>
      <c r="D644" s="21" t="str">
        <f>IFERROR(__xludf.DUMMYFUNCTION("""COMPUTED_VALUE"""),"2018")</f>
        <v>2018</v>
      </c>
    </row>
    <row r="645" ht="15.75" customHeight="1">
      <c r="A645" s="9">
        <v>644.0</v>
      </c>
      <c r="B645" s="21" t="str">
        <f>IFERROR(__xludf.DUMMYFUNCTION("""COMPUTED_VALUE"""),"High Life")</f>
        <v>High Life</v>
      </c>
      <c r="C645" s="21" t="str">
        <f>IFERROR(__xludf.DUMMYFUNCTION("""COMPUTED_VALUE"""),"Claire Denis")</f>
        <v>Claire Denis</v>
      </c>
      <c r="D645" s="21" t="str">
        <f>IFERROR(__xludf.DUMMYFUNCTION("""COMPUTED_VALUE"""),"2018")</f>
        <v>2018</v>
      </c>
    </row>
    <row r="646" ht="15.75" customHeight="1">
      <c r="A646" s="9">
        <v>645.0</v>
      </c>
      <c r="B646" s="21" t="str">
        <f>IFERROR(__xludf.DUMMYFUNCTION("""COMPUTED_VALUE"""),"Holiday")</f>
        <v>Holiday</v>
      </c>
      <c r="C646" s="21" t="str">
        <f>IFERROR(__xludf.DUMMYFUNCTION("""COMPUTED_VALUE"""),"Isabella Eklöf")</f>
        <v>Isabella Eklöf</v>
      </c>
      <c r="D646" s="21" t="str">
        <f>IFERROR(__xludf.DUMMYFUNCTION("""COMPUTED_VALUE"""),"2018")</f>
        <v>2018</v>
      </c>
    </row>
    <row r="647" ht="15.75" customHeight="1">
      <c r="A647" s="9">
        <v>646.0</v>
      </c>
      <c r="B647" s="21" t="str">
        <f>IFERROR(__xludf.DUMMYFUNCTION("""COMPUTED_VALUE"""),"I Think We're Alone Now")</f>
        <v>I Think We're Alone Now</v>
      </c>
      <c r="C647" s="21" t="str">
        <f>IFERROR(__xludf.DUMMYFUNCTION("""COMPUTED_VALUE"""),"Reed Morano")</f>
        <v>Reed Morano</v>
      </c>
      <c r="D647" s="21" t="str">
        <f>IFERROR(__xludf.DUMMYFUNCTION("""COMPUTED_VALUE"""),"2018")</f>
        <v>2018</v>
      </c>
    </row>
    <row r="648" ht="15.75" customHeight="1">
      <c r="A648" s="9">
        <v>647.0</v>
      </c>
      <c r="B648" s="21" t="str">
        <f>IFERROR(__xludf.DUMMYFUNCTION("""COMPUTED_VALUE"""),"Ladyworld")</f>
        <v>Ladyworld</v>
      </c>
      <c r="C648" s="21" t="str">
        <f>IFERROR(__xludf.DUMMYFUNCTION("""COMPUTED_VALUE"""),"Amanda Kramer")</f>
        <v>Amanda Kramer</v>
      </c>
      <c r="D648" s="21" t="str">
        <f>IFERROR(__xludf.DUMMYFUNCTION("""COMPUTED_VALUE"""),"2018")</f>
        <v>2018</v>
      </c>
    </row>
    <row r="649" ht="15.75" customHeight="1">
      <c r="A649" s="9">
        <v>648.0</v>
      </c>
      <c r="B649" s="21" t="str">
        <f>IFERROR(__xludf.DUMMYFUNCTION("""COMPUTED_VALUE"""),"The Land of Steady Habits")</f>
        <v>The Land of Steady Habits</v>
      </c>
      <c r="C649" s="21" t="str">
        <f>IFERROR(__xludf.DUMMYFUNCTION("""COMPUTED_VALUE"""),"Nicole Holofcener")</f>
        <v>Nicole Holofcener</v>
      </c>
      <c r="D649" s="21" t="str">
        <f>IFERROR(__xludf.DUMMYFUNCTION("""COMPUTED_VALUE"""),"2018")</f>
        <v>2018</v>
      </c>
    </row>
    <row r="650" ht="15.75" customHeight="1">
      <c r="A650" s="9">
        <v>649.0</v>
      </c>
      <c r="B650" s="21" t="str">
        <f>IFERROR(__xludf.DUMMYFUNCTION("""COMPUTED_VALUE"""),"Leave No Trace")</f>
        <v>Leave No Trace</v>
      </c>
      <c r="C650" s="21" t="str">
        <f>IFERROR(__xludf.DUMMYFUNCTION("""COMPUTED_VALUE"""),"Debra Granik")</f>
        <v>Debra Granik</v>
      </c>
      <c r="D650" s="21" t="str">
        <f>IFERROR(__xludf.DUMMYFUNCTION("""COMPUTED_VALUE"""),"2018")</f>
        <v>2018</v>
      </c>
    </row>
    <row r="651" ht="15.75" customHeight="1">
      <c r="A651" s="9">
        <v>650.0</v>
      </c>
      <c r="B651" s="21" t="str">
        <f>IFERROR(__xludf.DUMMYFUNCTION("""COMPUTED_VALUE"""),"Little Woods")</f>
        <v>Little Woods</v>
      </c>
      <c r="C651" s="21" t="str">
        <f>IFERROR(__xludf.DUMMYFUNCTION("""COMPUTED_VALUE"""),"Nia DaCosta")</f>
        <v>Nia DaCosta</v>
      </c>
      <c r="D651" s="21" t="str">
        <f>IFERROR(__xludf.DUMMYFUNCTION("""COMPUTED_VALUE"""),"2018")</f>
        <v>2018</v>
      </c>
    </row>
    <row r="652" ht="15.75" customHeight="1">
      <c r="A652" s="9">
        <v>651.0</v>
      </c>
      <c r="B652" s="21" t="str">
        <f>IFERROR(__xludf.DUMMYFUNCTION("""COMPUTED_VALUE"""),"The Long Dumb Road")</f>
        <v>The Long Dumb Road</v>
      </c>
      <c r="C652" s="21" t="str">
        <f>IFERROR(__xludf.DUMMYFUNCTION("""COMPUTED_VALUE"""),"Hannah Fidell")</f>
        <v>Hannah Fidell</v>
      </c>
      <c r="D652" s="21" t="str">
        <f>IFERROR(__xludf.DUMMYFUNCTION("""COMPUTED_VALUE"""),"2018")</f>
        <v>2018</v>
      </c>
    </row>
    <row r="653" ht="15.75" customHeight="1">
      <c r="A653" s="9">
        <v>652.0</v>
      </c>
      <c r="B653" s="21" t="str">
        <f>IFERROR(__xludf.DUMMYFUNCTION("""COMPUTED_VALUE"""),"M")</f>
        <v>M</v>
      </c>
      <c r="C653" s="21" t="str">
        <f>IFERROR(__xludf.DUMMYFUNCTION("""COMPUTED_VALUE"""),"Anna Eriksson")</f>
        <v>Anna Eriksson</v>
      </c>
      <c r="D653" s="21" t="str">
        <f>IFERROR(__xludf.DUMMYFUNCTION("""COMPUTED_VALUE"""),"2018")</f>
        <v>2018</v>
      </c>
    </row>
    <row r="654" ht="15.75" customHeight="1">
      <c r="A654" s="9">
        <v>653.0</v>
      </c>
      <c r="B654" s="21" t="str">
        <f>IFERROR(__xludf.DUMMYFUNCTION("""COMPUTED_VALUE"""),"Madeline's Madeline")</f>
        <v>Madeline's Madeline</v>
      </c>
      <c r="C654" s="21" t="str">
        <f>IFERROR(__xludf.DUMMYFUNCTION("""COMPUTED_VALUE"""),"Josephine Decker")</f>
        <v>Josephine Decker</v>
      </c>
      <c r="D654" s="21" t="str">
        <f>IFERROR(__xludf.DUMMYFUNCTION("""COMPUTED_VALUE"""),"2018")</f>
        <v>2018</v>
      </c>
    </row>
    <row r="655" ht="15.75" customHeight="1">
      <c r="A655" s="9">
        <v>654.0</v>
      </c>
      <c r="B655" s="21" t="str">
        <f>IFERROR(__xludf.DUMMYFUNCTION("""COMPUTED_VALUE"""),"The Man Who Surprised Everyone")</f>
        <v>The Man Who Surprised Everyone</v>
      </c>
      <c r="C655" s="21" t="str">
        <f>IFERROR(__xludf.DUMMYFUNCTION("""COMPUTED_VALUE"""),"Natasha Merkulova")</f>
        <v>Natasha Merkulova</v>
      </c>
      <c r="D655" s="21" t="str">
        <f>IFERROR(__xludf.DUMMYFUNCTION("""COMPUTED_VALUE"""),"2018")</f>
        <v>2018</v>
      </c>
    </row>
    <row r="656" ht="15.75" customHeight="1">
      <c r="A656" s="9">
        <v>655.0</v>
      </c>
      <c r="B656" s="21" t="str">
        <f>IFERROR(__xludf.DUMMYFUNCTION("""COMPUTED_VALUE"""),"Mary Queen of Scots")</f>
        <v>Mary Queen of Scots</v>
      </c>
      <c r="C656" s="21" t="str">
        <f>IFERROR(__xludf.DUMMYFUNCTION("""COMPUTED_VALUE"""),"Josie Rourke")</f>
        <v>Josie Rourke</v>
      </c>
      <c r="D656" s="21" t="str">
        <f>IFERROR(__xludf.DUMMYFUNCTION("""COMPUTED_VALUE"""),"2018")</f>
        <v>2018</v>
      </c>
    </row>
    <row r="657" ht="15.75" customHeight="1">
      <c r="A657" s="9">
        <v>656.0</v>
      </c>
      <c r="B657" s="21" t="str">
        <f>IFERROR(__xludf.DUMMYFUNCTION("""COMPUTED_VALUE"""),"Maya")</f>
        <v>Maya</v>
      </c>
      <c r="C657" s="21" t="str">
        <f>IFERROR(__xludf.DUMMYFUNCTION("""COMPUTED_VALUE"""),"Mia Hansen-Løve")</f>
        <v>Mia Hansen-Løve</v>
      </c>
      <c r="D657" s="21" t="str">
        <f>IFERROR(__xludf.DUMMYFUNCTION("""COMPUTED_VALUE"""),"2018")</f>
        <v>2018</v>
      </c>
    </row>
    <row r="658" ht="15.75" customHeight="1">
      <c r="A658" s="9">
        <v>657.0</v>
      </c>
      <c r="B658" s="21" t="str">
        <f>IFERROR(__xludf.DUMMYFUNCTION("""COMPUTED_VALUE"""),"The Miseducation of Cameron Post")</f>
        <v>The Miseducation of Cameron Post</v>
      </c>
      <c r="C658" s="21" t="str">
        <f>IFERROR(__xludf.DUMMYFUNCTION("""COMPUTED_VALUE"""),"Desiree Akhavan")</f>
        <v>Desiree Akhavan</v>
      </c>
      <c r="D658" s="21" t="str">
        <f>IFERROR(__xludf.DUMMYFUNCTION("""COMPUTED_VALUE"""),"2018")</f>
        <v>2018</v>
      </c>
    </row>
    <row r="659" ht="15.75" customHeight="1">
      <c r="A659" s="9">
        <v>658.0</v>
      </c>
      <c r="B659" s="21" t="str">
        <f>IFERROR(__xludf.DUMMYFUNCTION("""COMPUTED_VALUE"""),"Mouthpiece")</f>
        <v>Mouthpiece</v>
      </c>
      <c r="C659" s="21" t="str">
        <f>IFERROR(__xludf.DUMMYFUNCTION("""COMPUTED_VALUE"""),"Patricia Rozema")</f>
        <v>Patricia Rozema</v>
      </c>
      <c r="D659" s="21" t="str">
        <f>IFERROR(__xludf.DUMMYFUNCTION("""COMPUTED_VALUE"""),"2018")</f>
        <v>2018</v>
      </c>
    </row>
    <row r="660" ht="15.75" customHeight="1">
      <c r="A660" s="9">
        <v>659.0</v>
      </c>
      <c r="B660" s="21" t="str">
        <f>IFERROR(__xludf.DUMMYFUNCTION("""COMPUTED_VALUE"""),"Nancy")</f>
        <v>Nancy</v>
      </c>
      <c r="C660" s="21" t="str">
        <f>IFERROR(__xludf.DUMMYFUNCTION("""COMPUTED_VALUE"""),"Christina Choe")</f>
        <v>Christina Choe</v>
      </c>
      <c r="D660" s="21" t="str">
        <f>IFERROR(__xludf.DUMMYFUNCTION("""COMPUTED_VALUE"""),"2018")</f>
        <v>2018</v>
      </c>
    </row>
    <row r="661" ht="15.75" customHeight="1">
      <c r="A661" s="9">
        <v>660.0</v>
      </c>
      <c r="B661" s="21" t="str">
        <f>IFERROR(__xludf.DUMMYFUNCTION("""COMPUTED_VALUE"""),"Nappily Ever After")</f>
        <v>Nappily Ever After</v>
      </c>
      <c r="C661" s="21" t="str">
        <f>IFERROR(__xludf.DUMMYFUNCTION("""COMPUTED_VALUE"""),"Haifaa al-Mansour")</f>
        <v>Haifaa al-Mansour</v>
      </c>
      <c r="D661" s="21" t="str">
        <f>IFERROR(__xludf.DUMMYFUNCTION("""COMPUTED_VALUE"""),"2018")</f>
        <v>2018</v>
      </c>
    </row>
    <row r="662" ht="15.75" customHeight="1">
      <c r="A662" s="9">
        <v>661.0</v>
      </c>
      <c r="B662" s="21" t="str">
        <f>IFERROR(__xludf.DUMMYFUNCTION("""COMPUTED_VALUE"""),"Never Goin' Back")</f>
        <v>Never Goin' Back</v>
      </c>
      <c r="C662" s="21" t="str">
        <f>IFERROR(__xludf.DUMMYFUNCTION("""COMPUTED_VALUE"""),"Augustine Frizzell")</f>
        <v>Augustine Frizzell</v>
      </c>
      <c r="D662" s="21" t="str">
        <f>IFERROR(__xludf.DUMMYFUNCTION("""COMPUTED_VALUE"""),"2018")</f>
        <v>2018</v>
      </c>
    </row>
    <row r="663" ht="15.75" customHeight="1">
      <c r="A663" s="9">
        <v>662.0</v>
      </c>
      <c r="B663" s="21" t="str">
        <f>IFERROR(__xludf.DUMMYFUNCTION("""COMPUTED_VALUE"""),"The New Romantic")</f>
        <v>The New Romantic</v>
      </c>
      <c r="C663" s="21" t="str">
        <f>IFERROR(__xludf.DUMMYFUNCTION("""COMPUTED_VALUE"""),"Carly Stone")</f>
        <v>Carly Stone</v>
      </c>
      <c r="D663" s="21" t="str">
        <f>IFERROR(__xludf.DUMMYFUNCTION("""COMPUTED_VALUE"""),"2018")</f>
        <v>2018</v>
      </c>
    </row>
    <row r="664" ht="15.75" customHeight="1">
      <c r="A664" s="9">
        <v>663.0</v>
      </c>
      <c r="B664" s="21" t="str">
        <f>IFERROR(__xludf.DUMMYFUNCTION("""COMPUTED_VALUE"""),"Night Comes On")</f>
        <v>Night Comes On</v>
      </c>
      <c r="C664" s="21" t="str">
        <f>IFERROR(__xludf.DUMMYFUNCTION("""COMPUTED_VALUE"""),"Jordana Spiro")</f>
        <v>Jordana Spiro</v>
      </c>
      <c r="D664" s="21" t="str">
        <f>IFERROR(__xludf.DUMMYFUNCTION("""COMPUTED_VALUE"""),"2018")</f>
        <v>2018</v>
      </c>
    </row>
    <row r="665" ht="15.75" customHeight="1">
      <c r="A665" s="9">
        <v>664.0</v>
      </c>
      <c r="B665" s="21" t="str">
        <f>IFERROR(__xludf.DUMMYFUNCTION("""COMPUTED_VALUE"""),"The Nightingale")</f>
        <v>The Nightingale</v>
      </c>
      <c r="C665" s="21" t="str">
        <f>IFERROR(__xludf.DUMMYFUNCTION("""COMPUTED_VALUE"""),"Jennifer Kent")</f>
        <v>Jennifer Kent</v>
      </c>
      <c r="D665" s="21" t="str">
        <f>IFERROR(__xludf.DUMMYFUNCTION("""COMPUTED_VALUE"""),"2018")</f>
        <v>2018</v>
      </c>
    </row>
    <row r="666" ht="15.75" customHeight="1">
      <c r="A666" s="9">
        <v>665.0</v>
      </c>
      <c r="B666" s="21" t="str">
        <f>IFERROR(__xludf.DUMMYFUNCTION("""COMPUTED_VALUE"""),"On the Basis of Sex")</f>
        <v>On the Basis of Sex</v>
      </c>
      <c r="C666" s="21" t="str">
        <f>IFERROR(__xludf.DUMMYFUNCTION("""COMPUTED_VALUE"""),"Mimi Leder")</f>
        <v>Mimi Leder</v>
      </c>
      <c r="D666" s="21" t="str">
        <f>IFERROR(__xludf.DUMMYFUNCTION("""COMPUTED_VALUE"""),"2018")</f>
        <v>2018</v>
      </c>
    </row>
    <row r="667" ht="15.75" customHeight="1">
      <c r="A667" s="9">
        <v>666.0</v>
      </c>
      <c r="B667" s="21" t="str">
        <f>IFERROR(__xludf.DUMMYFUNCTION("""COMPUTED_VALUE"""),"Ophelia")</f>
        <v>Ophelia</v>
      </c>
      <c r="C667" s="21" t="str">
        <f>IFERROR(__xludf.DUMMYFUNCTION("""COMPUTED_VALUE"""),"Claire McCarthy")</f>
        <v>Claire McCarthy</v>
      </c>
      <c r="D667" s="21" t="str">
        <f>IFERROR(__xludf.DUMMYFUNCTION("""COMPUTED_VALUE"""),"2018")</f>
        <v>2018</v>
      </c>
    </row>
    <row r="668" ht="15.75" customHeight="1">
      <c r="A668" s="9">
        <v>667.0</v>
      </c>
      <c r="B668" s="21" t="str">
        <f>IFERROR(__xludf.DUMMYFUNCTION("""COMPUTED_VALUE"""),"Private Life")</f>
        <v>Private Life</v>
      </c>
      <c r="C668" s="21" t="str">
        <f>IFERROR(__xludf.DUMMYFUNCTION("""COMPUTED_VALUE"""),"Tamara Jenkins")</f>
        <v>Tamara Jenkins</v>
      </c>
      <c r="D668" s="21" t="str">
        <f>IFERROR(__xludf.DUMMYFUNCTION("""COMPUTED_VALUE"""),"2018")</f>
        <v>2018</v>
      </c>
    </row>
    <row r="669" ht="15.75" customHeight="1">
      <c r="A669" s="9">
        <v>668.0</v>
      </c>
      <c r="B669" s="21" t="str">
        <f>IFERROR(__xludf.DUMMYFUNCTION("""COMPUTED_VALUE"""),"Rust Creek")</f>
        <v>Rust Creek</v>
      </c>
      <c r="C669" s="21" t="str">
        <f>IFERROR(__xludf.DUMMYFUNCTION("""COMPUTED_VALUE"""),"Jen McGowan")</f>
        <v>Jen McGowan</v>
      </c>
      <c r="D669" s="21" t="str">
        <f>IFERROR(__xludf.DUMMYFUNCTION("""COMPUTED_VALUE"""),"2018")</f>
        <v>2018</v>
      </c>
    </row>
    <row r="670" ht="15.75" customHeight="1">
      <c r="A670" s="9">
        <v>669.0</v>
      </c>
      <c r="B670" s="21" t="str">
        <f>IFERROR(__xludf.DUMMYFUNCTION("""COMPUTED_VALUE"""),"Sadie")</f>
        <v>Sadie</v>
      </c>
      <c r="C670" s="21" t="str">
        <f>IFERROR(__xludf.DUMMYFUNCTION("""COMPUTED_VALUE"""),"Megan Griffiths")</f>
        <v>Megan Griffiths</v>
      </c>
      <c r="D670" s="21" t="str">
        <f>IFERROR(__xludf.DUMMYFUNCTION("""COMPUTED_VALUE"""),"2018")</f>
        <v>2018</v>
      </c>
    </row>
    <row r="671" ht="15.75" customHeight="1">
      <c r="A671" s="9">
        <v>670.0</v>
      </c>
      <c r="B671" s="21" t="str">
        <f>IFERROR(__xludf.DUMMYFUNCTION("""COMPUTED_VALUE"""),"Skate Kitchen")</f>
        <v>Skate Kitchen</v>
      </c>
      <c r="C671" s="21" t="str">
        <f>IFERROR(__xludf.DUMMYFUNCTION("""COMPUTED_VALUE"""),"Crystal Moselle")</f>
        <v>Crystal Moselle</v>
      </c>
      <c r="D671" s="21" t="str">
        <f>IFERROR(__xludf.DUMMYFUNCTION("""COMPUTED_VALUE"""),"2018")</f>
        <v>2018</v>
      </c>
    </row>
    <row r="672" ht="15.75" customHeight="1">
      <c r="A672" s="9">
        <v>671.0</v>
      </c>
      <c r="B672" s="21" t="str">
        <f>IFERROR(__xludf.DUMMYFUNCTION("""COMPUTED_VALUE"""),"The Spy Who Dumped Me")</f>
        <v>The Spy Who Dumped Me</v>
      </c>
      <c r="C672" s="21" t="str">
        <f>IFERROR(__xludf.DUMMYFUNCTION("""COMPUTED_VALUE"""),"Susanna Fogel")</f>
        <v>Susanna Fogel</v>
      </c>
      <c r="D672" s="21" t="str">
        <f>IFERROR(__xludf.DUMMYFUNCTION("""COMPUTED_VALUE"""),"2018")</f>
        <v>2018</v>
      </c>
    </row>
    <row r="673" ht="15.75" customHeight="1">
      <c r="A673" s="9">
        <v>672.0</v>
      </c>
      <c r="B673" s="21" t="str">
        <f>IFERROR(__xludf.DUMMYFUNCTION("""COMPUTED_VALUE"""),"State Like Sleep")</f>
        <v>State Like Sleep</v>
      </c>
      <c r="C673" s="21" t="str">
        <f>IFERROR(__xludf.DUMMYFUNCTION("""COMPUTED_VALUE"""),"Meredith Danluck")</f>
        <v>Meredith Danluck</v>
      </c>
      <c r="D673" s="21" t="str">
        <f>IFERROR(__xludf.DUMMYFUNCTION("""COMPUTED_VALUE"""),"2018")</f>
        <v>2018</v>
      </c>
    </row>
    <row r="674" ht="15.75" customHeight="1">
      <c r="A674" s="9">
        <v>673.0</v>
      </c>
      <c r="B674" s="21" t="str">
        <f>IFERROR(__xludf.DUMMYFUNCTION("""COMPUTED_VALUE"""),"Story of One Appointment")</f>
        <v>Story of One Appointment</v>
      </c>
      <c r="C674" s="21" t="str">
        <f>IFERROR(__xludf.DUMMYFUNCTION("""COMPUTED_VALUE"""),"Avdotya Smirnova")</f>
        <v>Avdotya Smirnova</v>
      </c>
      <c r="D674" s="21" t="str">
        <f>IFERROR(__xludf.DUMMYFUNCTION("""COMPUTED_VALUE"""),"2018")</f>
        <v>2018</v>
      </c>
    </row>
    <row r="675" ht="15.75" customHeight="1">
      <c r="A675" s="9">
        <v>674.0</v>
      </c>
      <c r="B675" s="21" t="str">
        <f>IFERROR(__xludf.DUMMYFUNCTION("""COMPUTED_VALUE"""),"Swingers")</f>
        <v>Swingers</v>
      </c>
      <c r="C675" s="21" t="str">
        <f>IFERROR(__xludf.DUMMYFUNCTION("""COMPUTED_VALUE"""),"Pamela Tola")</f>
        <v>Pamela Tola</v>
      </c>
      <c r="D675" s="21" t="str">
        <f>IFERROR(__xludf.DUMMYFUNCTION("""COMPUTED_VALUE"""),"2018")</f>
        <v>2018</v>
      </c>
    </row>
    <row r="676" ht="15.75" customHeight="1">
      <c r="A676" s="9">
        <v>675.0</v>
      </c>
      <c r="B676" s="21" t="str">
        <f>IFERROR(__xludf.DUMMYFUNCTION("""COMPUTED_VALUE"""),"Treat Me Like Fire")</f>
        <v>Treat Me Like Fire</v>
      </c>
      <c r="C676" s="21" t="str">
        <f>IFERROR(__xludf.DUMMYFUNCTION("""COMPUTED_VALUE"""),"Marie Monge")</f>
        <v>Marie Monge</v>
      </c>
      <c r="D676" s="21" t="str">
        <f>IFERROR(__xludf.DUMMYFUNCTION("""COMPUTED_VALUE"""),"2018")</f>
        <v>2018</v>
      </c>
    </row>
    <row r="677" ht="15.75" customHeight="1">
      <c r="A677" s="9">
        <v>676.0</v>
      </c>
      <c r="B677" s="21" t="str">
        <f>IFERROR(__xludf.DUMMYFUNCTION("""COMPUTED_VALUE"""),"We Have Always Lived in the Castle")</f>
        <v>We Have Always Lived in the Castle</v>
      </c>
      <c r="C677" s="21" t="str">
        <f>IFERROR(__xludf.DUMMYFUNCTION("""COMPUTED_VALUE"""),"Stacie Passon")</f>
        <v>Stacie Passon</v>
      </c>
      <c r="D677" s="21" t="str">
        <f>IFERROR(__xludf.DUMMYFUNCTION("""COMPUTED_VALUE"""),"2018")</f>
        <v>2018</v>
      </c>
    </row>
    <row r="678" ht="15.75" customHeight="1">
      <c r="A678" s="9">
        <v>677.0</v>
      </c>
      <c r="B678" s="21" t="str">
        <f>IFERROR(__xludf.DUMMYFUNCTION("""COMPUTED_VALUE"""),"What They Had")</f>
        <v>What They Had</v>
      </c>
      <c r="C678" s="21" t="str">
        <f>IFERROR(__xludf.DUMMYFUNCTION("""COMPUTED_VALUE"""),"Elizabeth Chomko")</f>
        <v>Elizabeth Chomko</v>
      </c>
      <c r="D678" s="21" t="str">
        <f>IFERROR(__xludf.DUMMYFUNCTION("""COMPUTED_VALUE"""),"2018")</f>
        <v>2018</v>
      </c>
    </row>
    <row r="679" ht="15.75" customHeight="1">
      <c r="A679" s="9">
        <v>678.0</v>
      </c>
      <c r="B679" s="21" t="str">
        <f>IFERROR(__xludf.DUMMYFUNCTION("""COMPUTED_VALUE"""),"The Wind")</f>
        <v>The Wind</v>
      </c>
      <c r="C679" s="21" t="str">
        <f>IFERROR(__xludf.DUMMYFUNCTION("""COMPUTED_VALUE"""),"Emma Tammi")</f>
        <v>Emma Tammi</v>
      </c>
      <c r="D679" s="21" t="str">
        <f>IFERROR(__xludf.DUMMYFUNCTION("""COMPUTED_VALUE"""),"2018")</f>
        <v>2018</v>
      </c>
    </row>
    <row r="680" ht="15.75" customHeight="1">
      <c r="A680" s="9">
        <v>679.0</v>
      </c>
      <c r="B680" s="21" t="str">
        <f>IFERROR(__xludf.DUMMYFUNCTION("""COMPUTED_VALUE"""),"A Wrinkle in Time")</f>
        <v>A Wrinkle in Time</v>
      </c>
      <c r="C680" s="21" t="str">
        <f>IFERROR(__xludf.DUMMYFUNCTION("""COMPUTED_VALUE"""),"Ava DuVernay")</f>
        <v>Ava DuVernay</v>
      </c>
      <c r="D680" s="21" t="str">
        <f>IFERROR(__xludf.DUMMYFUNCTION("""COMPUTED_VALUE"""),"2018")</f>
        <v>2018</v>
      </c>
    </row>
    <row r="681" ht="15.75" customHeight="1">
      <c r="A681" s="9">
        <v>680.0</v>
      </c>
      <c r="B681" s="21" t="str">
        <f>IFERROR(__xludf.DUMMYFUNCTION("""COMPUTED_VALUE"""),"A Beautiful Day in the Neighborhood")</f>
        <v>A Beautiful Day in the Neighborhood</v>
      </c>
      <c r="C681" s="21" t="str">
        <f>IFERROR(__xludf.DUMMYFUNCTION("""COMPUTED_VALUE"""),"Marielle Heller")</f>
        <v>Marielle Heller</v>
      </c>
      <c r="D681" s="21" t="str">
        <f>IFERROR(__xludf.DUMMYFUNCTION("""COMPUTED_VALUE"""),"2019")</f>
        <v>2019</v>
      </c>
    </row>
    <row r="682" ht="15.75" customHeight="1">
      <c r="A682" s="9">
        <v>681.0</v>
      </c>
      <c r="B682" s="21" t="str">
        <f>IFERROR(__xludf.DUMMYFUNCTION("""COMPUTED_VALUE"""),"Always Be My Maybe")</f>
        <v>Always Be My Maybe</v>
      </c>
      <c r="C682" s="21" t="str">
        <f>IFERROR(__xludf.DUMMYFUNCTION("""COMPUTED_VALUE"""),"Nahnatchka Khan")</f>
        <v>Nahnatchka Khan</v>
      </c>
      <c r="D682" s="21" t="str">
        <f>IFERROR(__xludf.DUMMYFUNCTION("""COMPUTED_VALUE"""),"2019")</f>
        <v>2019</v>
      </c>
    </row>
    <row r="683" ht="15.75" customHeight="1">
      <c r="A683" s="9">
        <v>682.0</v>
      </c>
      <c r="B683" s="21" t="str">
        <f>IFERROR(__xludf.DUMMYFUNCTION("""COMPUTED_VALUE"""),"Atlantics")</f>
        <v>Atlantics</v>
      </c>
      <c r="C683" s="21" t="str">
        <f>IFERROR(__xludf.DUMMYFUNCTION("""COMPUTED_VALUE"""),"Mati Diop")</f>
        <v>Mati Diop</v>
      </c>
      <c r="D683" s="21" t="str">
        <f>IFERROR(__xludf.DUMMYFUNCTION("""COMPUTED_VALUE"""),"2019")</f>
        <v>2019</v>
      </c>
    </row>
    <row r="684" ht="15.75" customHeight="1">
      <c r="A684" s="9">
        <v>683.0</v>
      </c>
      <c r="B684" s="21" t="str">
        <f>IFERROR(__xludf.DUMMYFUNCTION("""COMPUTED_VALUE"""),"Babyteeth")</f>
        <v>Babyteeth</v>
      </c>
      <c r="C684" s="21" t="str">
        <f>IFERROR(__xludf.DUMMYFUNCTION("""COMPUTED_VALUE"""),"Shannon Murphy")</f>
        <v>Shannon Murphy</v>
      </c>
      <c r="D684" s="21" t="str">
        <f>IFERROR(__xludf.DUMMYFUNCTION("""COMPUTED_VALUE"""),"2019")</f>
        <v>2019</v>
      </c>
    </row>
    <row r="685" ht="15.75" customHeight="1">
      <c r="A685" s="9">
        <v>684.0</v>
      </c>
      <c r="B685" s="21" t="str">
        <f>IFERROR(__xludf.DUMMYFUNCTION("""COMPUTED_VALUE"""),"Black Christmas")</f>
        <v>Black Christmas</v>
      </c>
      <c r="C685" s="21" t="str">
        <f>IFERROR(__xludf.DUMMYFUNCTION("""COMPUTED_VALUE"""),"Sophia Takal")</f>
        <v>Sophia Takal</v>
      </c>
      <c r="D685" s="21" t="str">
        <f>IFERROR(__xludf.DUMMYFUNCTION("""COMPUTED_VALUE"""),"2019")</f>
        <v>2019</v>
      </c>
    </row>
    <row r="686" ht="15.75" customHeight="1">
      <c r="A686" s="9">
        <v>685.0</v>
      </c>
      <c r="B686" s="21" t="str">
        <f>IFERROR(__xludf.DUMMYFUNCTION("""COMPUTED_VALUE"""),"Black Conflux")</f>
        <v>Black Conflux</v>
      </c>
      <c r="C686" s="21" t="str">
        <f>IFERROR(__xludf.DUMMYFUNCTION("""COMPUTED_VALUE"""),"Nicole Dorsey")</f>
        <v>Nicole Dorsey</v>
      </c>
      <c r="D686" s="21" t="str">
        <f>IFERROR(__xludf.DUMMYFUNCTION("""COMPUTED_VALUE"""),"2019")</f>
        <v>2019</v>
      </c>
    </row>
    <row r="687" ht="15.75" customHeight="1">
      <c r="A687" s="9">
        <v>686.0</v>
      </c>
      <c r="B687" s="21" t="str">
        <f>IFERROR(__xludf.DUMMYFUNCTION("""COMPUTED_VALUE"""),"Blinded by the Light")</f>
        <v>Blinded by the Light</v>
      </c>
      <c r="C687" s="21" t="str">
        <f>IFERROR(__xludf.DUMMYFUNCTION("""COMPUTED_VALUE"""),"Gurinder Chadha")</f>
        <v>Gurinder Chadha</v>
      </c>
      <c r="D687" s="21" t="str">
        <f>IFERROR(__xludf.DUMMYFUNCTION("""COMPUTED_VALUE"""),"2019")</f>
        <v>2019</v>
      </c>
    </row>
    <row r="688" ht="15.75" customHeight="1">
      <c r="A688" s="9">
        <v>687.0</v>
      </c>
      <c r="B688" s="21" t="str">
        <f>IFERROR(__xludf.DUMMYFUNCTION("""COMPUTED_VALUE"""),"Body at Brighton Rock")</f>
        <v>Body at Brighton Rock</v>
      </c>
      <c r="C688" s="21" t="str">
        <f>IFERROR(__xludf.DUMMYFUNCTION("""COMPUTED_VALUE"""),"Roxanne Benjamin")</f>
        <v>Roxanne Benjamin</v>
      </c>
      <c r="D688" s="21" t="str">
        <f>IFERROR(__xludf.DUMMYFUNCTION("""COMPUTED_VALUE"""),"2019")</f>
        <v>2019</v>
      </c>
    </row>
    <row r="689" ht="15.75" customHeight="1">
      <c r="A689" s="9">
        <v>688.0</v>
      </c>
      <c r="B689" s="21" t="str">
        <f>IFERROR(__xludf.DUMMYFUNCTION("""COMPUTED_VALUE"""),"Booksmart")</f>
        <v>Booksmart</v>
      </c>
      <c r="C689" s="21" t="str">
        <f>IFERROR(__xludf.DUMMYFUNCTION("""COMPUTED_VALUE"""),"Olivia Wilde")</f>
        <v>Olivia Wilde</v>
      </c>
      <c r="D689" s="21" t="str">
        <f>IFERROR(__xludf.DUMMYFUNCTION("""COMPUTED_VALUE"""),"2019")</f>
        <v>2019</v>
      </c>
    </row>
    <row r="690" ht="15.75" customHeight="1">
      <c r="A690" s="9">
        <v>689.0</v>
      </c>
      <c r="B690" s="21" t="str">
        <f>IFERROR(__xludf.DUMMYFUNCTION("""COMPUTED_VALUE"""),"Buffaloed")</f>
        <v>Buffaloed</v>
      </c>
      <c r="C690" s="21" t="str">
        <f>IFERROR(__xludf.DUMMYFUNCTION("""COMPUTED_VALUE"""),"Tanya Wexler")</f>
        <v>Tanya Wexler</v>
      </c>
      <c r="D690" s="21" t="str">
        <f>IFERROR(__xludf.DUMMYFUNCTION("""COMPUTED_VALUE"""),"2019")</f>
        <v>2019</v>
      </c>
    </row>
    <row r="691" ht="15.75" customHeight="1">
      <c r="A691" s="9">
        <v>690.0</v>
      </c>
      <c r="B691" s="21" t="str">
        <f>IFERROR(__xludf.DUMMYFUNCTION("""COMPUTED_VALUE"""),"Captain Marvel")</f>
        <v>Captain Marvel</v>
      </c>
      <c r="C691" s="21" t="str">
        <f>IFERROR(__xludf.DUMMYFUNCTION("""COMPUTED_VALUE"""),"Anna Boden, co-directed with Ryan Fleck")</f>
        <v>Anna Boden, co-directed with Ryan Fleck</v>
      </c>
      <c r="D691" s="21" t="str">
        <f>IFERROR(__xludf.DUMMYFUNCTION("""COMPUTED_VALUE"""),"2019")</f>
        <v>2019</v>
      </c>
    </row>
    <row r="692" ht="15.75" customHeight="1">
      <c r="A692" s="9">
        <v>691.0</v>
      </c>
      <c r="B692" s="21" t="str">
        <f>IFERROR(__xludf.DUMMYFUNCTION("""COMPUTED_VALUE"""),"Carmilla")</f>
        <v>Carmilla</v>
      </c>
      <c r="C692" s="21" t="str">
        <f>IFERROR(__xludf.DUMMYFUNCTION("""COMPUTED_VALUE"""),"Emily Harris")</f>
        <v>Emily Harris</v>
      </c>
      <c r="D692" s="21" t="str">
        <f>IFERROR(__xludf.DUMMYFUNCTION("""COMPUTED_VALUE"""),"2019")</f>
        <v>2019</v>
      </c>
    </row>
    <row r="693" ht="15.75" customHeight="1">
      <c r="A693" s="9">
        <v>692.0</v>
      </c>
      <c r="B693" s="21" t="str">
        <f>IFERROR(__xludf.DUMMYFUNCTION("""COMPUTED_VALUE"""),"Caviar")</f>
        <v>Caviar</v>
      </c>
      <c r="C693" s="21" t="str">
        <f>IFERROR(__xludf.DUMMYFUNCTION("""COMPUTED_VALUE"""),"Elena Tikhonova")</f>
        <v>Elena Tikhonova</v>
      </c>
      <c r="D693" s="21" t="str">
        <f>IFERROR(__xludf.DUMMYFUNCTION("""COMPUTED_VALUE"""),"2019")</f>
        <v>2019</v>
      </c>
    </row>
    <row r="694" ht="15.75" customHeight="1">
      <c r="A694" s="9">
        <v>693.0</v>
      </c>
      <c r="B694" s="21" t="str">
        <f>IFERROR(__xludf.DUMMYFUNCTION("""COMPUTED_VALUE"""),"Clemency")</f>
        <v>Clemency</v>
      </c>
      <c r="C694" s="21" t="str">
        <f>IFERROR(__xludf.DUMMYFUNCTION("""COMPUTED_VALUE"""),"Chinonye Chukwu")</f>
        <v>Chinonye Chukwu</v>
      </c>
      <c r="D694" s="21" t="str">
        <f>IFERROR(__xludf.DUMMYFUNCTION("""COMPUTED_VALUE"""),"2019")</f>
        <v>2019</v>
      </c>
    </row>
    <row r="695" ht="15.75" customHeight="1">
      <c r="A695" s="9">
        <v>694.0</v>
      </c>
      <c r="B695" s="21" t="str">
        <f>IFERROR(__xludf.DUMMYFUNCTION("""COMPUTED_VALUE"""),"The Farewell")</f>
        <v>The Farewell</v>
      </c>
      <c r="C695" s="21" t="str">
        <f>IFERROR(__xludf.DUMMYFUNCTION("""COMPUTED_VALUE"""),"Lulu Wang")</f>
        <v>Lulu Wang</v>
      </c>
      <c r="D695" s="21" t="str">
        <f>IFERROR(__xludf.DUMMYFUNCTION("""COMPUTED_VALUE"""),"2019")</f>
        <v>2019</v>
      </c>
    </row>
    <row r="696" ht="15.75" customHeight="1">
      <c r="A696" s="9">
        <v>695.0</v>
      </c>
      <c r="B696" s="21" t="str">
        <f>IFERROR(__xludf.DUMMYFUNCTION("""COMPUTED_VALUE"""),"First Cow")</f>
        <v>First Cow</v>
      </c>
      <c r="C696" s="21" t="str">
        <f>IFERROR(__xludf.DUMMYFUNCTION("""COMPUTED_VALUE"""),"Kelly Reichardt")</f>
        <v>Kelly Reichardt</v>
      </c>
      <c r="D696" s="21" t="str">
        <f>IFERROR(__xludf.DUMMYFUNCTION("""COMPUTED_VALUE"""),"2019")</f>
        <v>2019</v>
      </c>
    </row>
    <row r="697" ht="15.75" customHeight="1">
      <c r="A697" s="9">
        <v>696.0</v>
      </c>
      <c r="B697" s="21" t="str">
        <f>IFERROR(__xludf.DUMMYFUNCTION("""COMPUTED_VALUE"""),"Frozen II")</f>
        <v>Frozen II</v>
      </c>
      <c r="C697" s="21" t="str">
        <f>IFERROR(__xludf.DUMMYFUNCTION("""COMPUTED_VALUE"""),"Jennifer Lee, co-directed with Chris Buck")</f>
        <v>Jennifer Lee, co-directed with Chris Buck</v>
      </c>
      <c r="D697" s="21" t="str">
        <f>IFERROR(__xludf.DUMMYFUNCTION("""COMPUTED_VALUE"""),"2019")</f>
        <v>2019</v>
      </c>
    </row>
    <row r="698" ht="15.75" customHeight="1">
      <c r="A698" s="9">
        <v>697.0</v>
      </c>
      <c r="B698" s="21" t="str">
        <f>IFERROR(__xludf.DUMMYFUNCTION("""COMPUTED_VALUE"""),"The Ground Beneath My Feet")</f>
        <v>The Ground Beneath My Feet</v>
      </c>
      <c r="C698" s="21" t="str">
        <f>IFERROR(__xludf.DUMMYFUNCTION("""COMPUTED_VALUE"""),"Marie Kreutzer")</f>
        <v>Marie Kreutzer</v>
      </c>
      <c r="D698" s="21" t="str">
        <f>IFERROR(__xludf.DUMMYFUNCTION("""COMPUTED_VALUE"""),"2019")</f>
        <v>2019</v>
      </c>
    </row>
    <row r="699" ht="15.75" customHeight="1">
      <c r="A699" s="9">
        <v>698.0</v>
      </c>
      <c r="B699" s="21" t="str">
        <f>IFERROR(__xludf.DUMMYFUNCTION("""COMPUTED_VALUE"""),"Harriet")</f>
        <v>Harriet</v>
      </c>
      <c r="C699" s="21" t="str">
        <f>IFERROR(__xludf.DUMMYFUNCTION("""COMPUTED_VALUE"""),"Kasi Lemmons")</f>
        <v>Kasi Lemmons</v>
      </c>
      <c r="D699" s="21" t="str">
        <f>IFERROR(__xludf.DUMMYFUNCTION("""COMPUTED_VALUE"""),"2019")</f>
        <v>2019</v>
      </c>
    </row>
    <row r="700" ht="15.75" customHeight="1">
      <c r="A700" s="9">
        <v>699.0</v>
      </c>
      <c r="B700" s="21" t="str">
        <f>IFERROR(__xludf.DUMMYFUNCTION("""COMPUTED_VALUE"""),"Hustlers")</f>
        <v>Hustlers</v>
      </c>
      <c r="C700" s="21" t="str">
        <f>IFERROR(__xludf.DUMMYFUNCTION("""COMPUTED_VALUE"""),"Lorene Scafaria")</f>
        <v>Lorene Scafaria</v>
      </c>
      <c r="D700" s="21" t="str">
        <f>IFERROR(__xludf.DUMMYFUNCTION("""COMPUTED_VALUE"""),"2019")</f>
        <v>2019</v>
      </c>
    </row>
    <row r="701" ht="15.75" customHeight="1">
      <c r="A701" s="9">
        <v>700.0</v>
      </c>
      <c r="B701" s="21" t="str">
        <f>IFERROR(__xludf.DUMMYFUNCTION("""COMPUTED_VALUE"""),"I'll Find You")</f>
        <v>I'll Find You</v>
      </c>
      <c r="C701" s="21" t="str">
        <f>IFERROR(__xludf.DUMMYFUNCTION("""COMPUTED_VALUE"""),"Martha Coolidge")</f>
        <v>Martha Coolidge</v>
      </c>
      <c r="D701" s="21" t="str">
        <f>IFERROR(__xludf.DUMMYFUNCTION("""COMPUTED_VALUE"""),"2019")</f>
        <v>2019</v>
      </c>
    </row>
    <row r="702" ht="15.75" customHeight="1">
      <c r="A702" s="9">
        <v>701.0</v>
      </c>
      <c r="B702" s="21" t="str">
        <f>IFERROR(__xludf.DUMMYFUNCTION("""COMPUTED_VALUE"""),"Instinct")</f>
        <v>Instinct</v>
      </c>
      <c r="C702" s="21" t="str">
        <f>IFERROR(__xludf.DUMMYFUNCTION("""COMPUTED_VALUE"""),"Halina Reijn")</f>
        <v>Halina Reijn</v>
      </c>
      <c r="D702" s="21" t="str">
        <f>IFERROR(__xludf.DUMMYFUNCTION("""COMPUTED_VALUE"""),"2019")</f>
        <v>2019</v>
      </c>
    </row>
    <row r="703" ht="15.75" customHeight="1">
      <c r="A703" s="9">
        <v>702.0</v>
      </c>
      <c r="B703" s="21" t="str">
        <f>IFERROR(__xludf.DUMMYFUNCTION("""COMPUTED_VALUE"""),"Judy and Punch")</f>
        <v>Judy and Punch</v>
      </c>
      <c r="C703" s="21" t="str">
        <f>IFERROR(__xludf.DUMMYFUNCTION("""COMPUTED_VALUE"""),"Mirrah Foulkes")</f>
        <v>Mirrah Foulkes</v>
      </c>
      <c r="D703" s="21" t="str">
        <f>IFERROR(__xludf.DUMMYFUNCTION("""COMPUTED_VALUE"""),"2019")</f>
        <v>2019</v>
      </c>
    </row>
    <row r="704" ht="15.75" customHeight="1">
      <c r="A704" s="9">
        <v>703.0</v>
      </c>
      <c r="B704" s="21" t="str">
        <f>IFERROR(__xludf.DUMMYFUNCTION("""COMPUTED_VALUE"""),"The Kindness of Strangers")</f>
        <v>The Kindness of Strangers</v>
      </c>
      <c r="C704" s="21" t="str">
        <f>IFERROR(__xludf.DUMMYFUNCTION("""COMPUTED_VALUE"""),"Lone Scherfig")</f>
        <v>Lone Scherfig</v>
      </c>
      <c r="D704" s="21" t="str">
        <f>IFERROR(__xludf.DUMMYFUNCTION("""COMPUTED_VALUE"""),"2019")</f>
        <v>2019</v>
      </c>
    </row>
    <row r="705" ht="15.75" customHeight="1">
      <c r="A705" s="9">
        <v>704.0</v>
      </c>
      <c r="B705" s="21" t="str">
        <f>IFERROR(__xludf.DUMMYFUNCTION("""COMPUTED_VALUE"""),"Knives and Skin")</f>
        <v>Knives and Skin</v>
      </c>
      <c r="C705" s="21" t="str">
        <f>IFERROR(__xludf.DUMMYFUNCTION("""COMPUTED_VALUE"""),"Jennifer Reeder")</f>
        <v>Jennifer Reeder</v>
      </c>
      <c r="D705" s="21" t="str">
        <f>IFERROR(__xludf.DUMMYFUNCTION("""COMPUTED_VALUE"""),"2019")</f>
        <v>2019</v>
      </c>
    </row>
    <row r="706" ht="15.75" customHeight="1">
      <c r="A706" s="9">
        <v>705.0</v>
      </c>
      <c r="B706" s="21" t="str">
        <f>IFERROR(__xludf.DUMMYFUNCTION("""COMPUTED_VALUE"""),"Little Joe")</f>
        <v>Little Joe</v>
      </c>
      <c r="C706" s="21" t="str">
        <f>IFERROR(__xludf.DUMMYFUNCTION("""COMPUTED_VALUE"""),"Jessica Hausner")</f>
        <v>Jessica Hausner</v>
      </c>
      <c r="D706" s="21" t="str">
        <f>IFERROR(__xludf.DUMMYFUNCTION("""COMPUTED_VALUE"""),"2019")</f>
        <v>2019</v>
      </c>
    </row>
    <row r="707" ht="15.75" customHeight="1">
      <c r="A707" s="9">
        <v>706.0</v>
      </c>
      <c r="B707" s="21" t="str">
        <f>IFERROR(__xludf.DUMMYFUNCTION("""COMPUTED_VALUE"""),"Little Women")</f>
        <v>Little Women</v>
      </c>
      <c r="C707" s="21" t="str">
        <f>IFERROR(__xludf.DUMMYFUNCTION("""COMPUTED_VALUE"""),"Greta Gerwig")</f>
        <v>Greta Gerwig</v>
      </c>
      <c r="D707" s="21" t="str">
        <f>IFERROR(__xludf.DUMMYFUNCTION("""COMPUTED_VALUE"""),"2019")</f>
        <v>2019</v>
      </c>
    </row>
    <row r="708" ht="15.75" customHeight="1">
      <c r="A708" s="9">
        <v>707.0</v>
      </c>
      <c r="B708" s="21" t="str">
        <f>IFERROR(__xludf.DUMMYFUNCTION("""COMPUTED_VALUE"""),"Miss Bala")</f>
        <v>Miss Bala</v>
      </c>
      <c r="C708" s="21" t="str">
        <f>IFERROR(__xludf.DUMMYFUNCTION("""COMPUTED_VALUE"""),"Catherine Hardwicke")</f>
        <v>Catherine Hardwicke</v>
      </c>
      <c r="D708" s="21" t="str">
        <f>IFERROR(__xludf.DUMMYFUNCTION("""COMPUTED_VALUE"""),"2019")</f>
        <v>2019</v>
      </c>
    </row>
    <row r="709" ht="15.75" customHeight="1">
      <c r="A709" s="9">
        <v>708.0</v>
      </c>
      <c r="B709" s="21" t="str">
        <f>IFERROR(__xludf.DUMMYFUNCTION("""COMPUTED_VALUE"""),"Mr. Jones")</f>
        <v>Mr. Jones</v>
      </c>
      <c r="C709" s="21" t="str">
        <f>IFERROR(__xludf.DUMMYFUNCTION("""COMPUTED_VALUE"""),"Agnieszka Holland")</f>
        <v>Agnieszka Holland</v>
      </c>
      <c r="D709" s="21" t="str">
        <f>IFERROR(__xludf.DUMMYFUNCTION("""COMPUTED_VALUE"""),"2019")</f>
        <v>2019</v>
      </c>
    </row>
    <row r="710" ht="15.75" customHeight="1">
      <c r="A710" s="9">
        <v>709.0</v>
      </c>
      <c r="B710" s="21" t="str">
        <f>IFERROR(__xludf.DUMMYFUNCTION("""COMPUTED_VALUE"""),"The Other Lamb")</f>
        <v>The Other Lamb</v>
      </c>
      <c r="C710" s="21" t="str">
        <f>IFERROR(__xludf.DUMMYFUNCTION("""COMPUTED_VALUE"""),"Małgorzata Szumowska")</f>
        <v>Małgorzata Szumowska</v>
      </c>
      <c r="D710" s="21" t="str">
        <f>IFERROR(__xludf.DUMMYFUNCTION("""COMPUTED_VALUE"""),"2019")</f>
        <v>2019</v>
      </c>
    </row>
    <row r="711" ht="15.75" customHeight="1">
      <c r="A711" s="9">
        <v>710.0</v>
      </c>
      <c r="B711" s="21" t="str">
        <f>IFERROR(__xludf.DUMMYFUNCTION("""COMPUTED_VALUE"""),"Paradise Hills")</f>
        <v>Paradise Hills</v>
      </c>
      <c r="C711" s="21" t="str">
        <f>IFERROR(__xludf.DUMMYFUNCTION("""COMPUTED_VALUE"""),"Alice Waddington")</f>
        <v>Alice Waddington</v>
      </c>
      <c r="D711" s="21" t="str">
        <f>IFERROR(__xludf.DUMMYFUNCTION("""COMPUTED_VALUE"""),"2019")</f>
        <v>2019</v>
      </c>
    </row>
    <row r="712" ht="15.75" customHeight="1">
      <c r="A712" s="9">
        <v>711.0</v>
      </c>
      <c r="B712" s="21" t="str">
        <f>IFERROR(__xludf.DUMMYFUNCTION("""COMPUTED_VALUE"""),"The Perfect Candidate")</f>
        <v>The Perfect Candidate</v>
      </c>
      <c r="C712" s="21" t="str">
        <f>IFERROR(__xludf.DUMMYFUNCTION("""COMPUTED_VALUE"""),"Haifaa al-Mansour")</f>
        <v>Haifaa al-Mansour</v>
      </c>
      <c r="D712" s="21" t="str">
        <f>IFERROR(__xludf.DUMMYFUNCTION("""COMPUTED_VALUE"""),"2019")</f>
        <v>2019</v>
      </c>
    </row>
    <row r="713" ht="15.75" customHeight="1">
      <c r="A713" s="9">
        <v>712.0</v>
      </c>
      <c r="B713" s="21" t="str">
        <f>IFERROR(__xludf.DUMMYFUNCTION("""COMPUTED_VALUE"""),"Portrait of a Lady on Fire")</f>
        <v>Portrait of a Lady on Fire</v>
      </c>
      <c r="C713" s="21" t="str">
        <f>IFERROR(__xludf.DUMMYFUNCTION("""COMPUTED_VALUE"""),"Celine Sciamma")</f>
        <v>Celine Sciamma</v>
      </c>
      <c r="D713" s="21" t="str">
        <f>IFERROR(__xludf.DUMMYFUNCTION("""COMPUTED_VALUE"""),"2019")</f>
        <v>2019</v>
      </c>
    </row>
    <row r="714" ht="15.75" customHeight="1">
      <c r="A714" s="9">
        <v>713.0</v>
      </c>
      <c r="B714" s="21" t="str">
        <f>IFERROR(__xludf.DUMMYFUNCTION("""COMPUTED_VALUE"""),"Queen &amp; Slim")</f>
        <v>Queen &amp; Slim</v>
      </c>
      <c r="C714" s="21" t="str">
        <f>IFERROR(__xludf.DUMMYFUNCTION("""COMPUTED_VALUE"""),"Melina Matsoukas")</f>
        <v>Melina Matsoukas</v>
      </c>
      <c r="D714" s="21" t="str">
        <f>IFERROR(__xludf.DUMMYFUNCTION("""COMPUTED_VALUE"""),"2019")</f>
        <v>2019</v>
      </c>
    </row>
    <row r="715" ht="15.75" customHeight="1">
      <c r="A715" s="9">
        <v>714.0</v>
      </c>
      <c r="B715" s="21" t="str">
        <f>IFERROR(__xludf.DUMMYFUNCTION("""COMPUTED_VALUE"""),"Queen of the Morning Calm")</f>
        <v>Queen of the Morning Calm</v>
      </c>
      <c r="C715" s="21" t="str">
        <f>IFERROR(__xludf.DUMMYFUNCTION("""COMPUTED_VALUE"""),"Gloria Ui Young Kim")</f>
        <v>Gloria Ui Young Kim</v>
      </c>
      <c r="D715" s="21" t="str">
        <f>IFERROR(__xludf.DUMMYFUNCTION("""COMPUTED_VALUE"""),"2019")</f>
        <v>2019</v>
      </c>
    </row>
    <row r="716" ht="15.75" customHeight="1">
      <c r="A716" s="9">
        <v>715.0</v>
      </c>
      <c r="B716" s="21" t="str">
        <f>IFERROR(__xludf.DUMMYFUNCTION("""COMPUTED_VALUE"""),"Radioactive")</f>
        <v>Radioactive</v>
      </c>
      <c r="C716" s="21" t="str">
        <f>IFERROR(__xludf.DUMMYFUNCTION("""COMPUTED_VALUE"""),"Marjane Satrapi")</f>
        <v>Marjane Satrapi</v>
      </c>
      <c r="D716" s="21" t="str">
        <f>IFERROR(__xludf.DUMMYFUNCTION("""COMPUTED_VALUE"""),"2019")</f>
        <v>2019</v>
      </c>
    </row>
    <row r="717" ht="15.75" customHeight="1">
      <c r="A717" s="9">
        <v>716.0</v>
      </c>
      <c r="B717" s="21" t="str">
        <f>IFERROR(__xludf.DUMMYFUNCTION("""COMPUTED_VALUE"""),"Rocks")</f>
        <v>Rocks</v>
      </c>
      <c r="C717" s="21" t="str">
        <f>IFERROR(__xludf.DUMMYFUNCTION("""COMPUTED_VALUE"""),"Sarah Gavron")</f>
        <v>Sarah Gavron</v>
      </c>
      <c r="D717" s="21" t="str">
        <f>IFERROR(__xludf.DUMMYFUNCTION("""COMPUTED_VALUE"""),"2019")</f>
        <v>2019</v>
      </c>
    </row>
    <row r="718" ht="15.75" customHeight="1">
      <c r="A718" s="9">
        <v>717.0</v>
      </c>
      <c r="B718" s="21" t="str">
        <f>IFERROR(__xludf.DUMMYFUNCTION("""COMPUTED_VALUE"""),"Saint Maud")</f>
        <v>Saint Maud</v>
      </c>
      <c r="C718" s="21" t="str">
        <f>IFERROR(__xludf.DUMMYFUNCTION("""COMPUTED_VALUE"""),"Rose Glass")</f>
        <v>Rose Glass</v>
      </c>
      <c r="D718" s="21" t="str">
        <f>IFERROR(__xludf.DUMMYFUNCTION("""COMPUTED_VALUE"""),"2019")</f>
        <v>2019</v>
      </c>
    </row>
    <row r="719" ht="15.75" customHeight="1">
      <c r="A719" s="9">
        <v>718.0</v>
      </c>
      <c r="B719" s="21" t="str">
        <f>IFERROR(__xludf.DUMMYFUNCTION("""COMPUTED_VALUE"""),"Satanic Panic")</f>
        <v>Satanic Panic</v>
      </c>
      <c r="C719" s="21" t="str">
        <f>IFERROR(__xludf.DUMMYFUNCTION("""COMPUTED_VALUE"""),"Chelsea Stardust")</f>
        <v>Chelsea Stardust</v>
      </c>
      <c r="D719" s="21" t="str">
        <f>IFERROR(__xludf.DUMMYFUNCTION("""COMPUTED_VALUE"""),"2019")</f>
        <v>2019</v>
      </c>
    </row>
    <row r="720" ht="15.75" customHeight="1">
      <c r="A720" s="9">
        <v>719.0</v>
      </c>
      <c r="B720" s="21" t="str">
        <f>IFERROR(__xludf.DUMMYFUNCTION("""COMPUTED_VALUE"""),"The Souvenir")</f>
        <v>The Souvenir</v>
      </c>
      <c r="C720" s="21" t="str">
        <f>IFERROR(__xludf.DUMMYFUNCTION("""COMPUTED_VALUE"""),"Joanna Hogg")</f>
        <v>Joanna Hogg</v>
      </c>
      <c r="D720" s="21" t="str">
        <f>IFERROR(__xludf.DUMMYFUNCTION("""COMPUTED_VALUE"""),"2019")</f>
        <v>2019</v>
      </c>
    </row>
    <row r="721" ht="15.75" customHeight="1">
      <c r="A721" s="9">
        <v>720.0</v>
      </c>
      <c r="B721" s="21" t="str">
        <f>IFERROR(__xludf.DUMMYFUNCTION("""COMPUTED_VALUE"""),"Sweethearts")</f>
        <v>Sweethearts</v>
      </c>
      <c r="C721" s="21" t="str">
        <f>IFERROR(__xludf.DUMMYFUNCTION("""COMPUTED_VALUE"""),"Karoline Herfurth")</f>
        <v>Karoline Herfurth</v>
      </c>
      <c r="D721" s="21" t="str">
        <f>IFERROR(__xludf.DUMMYFUNCTION("""COMPUTED_VALUE"""),"2019")</f>
        <v>2019</v>
      </c>
    </row>
    <row r="722" ht="15.75" customHeight="1">
      <c r="A722" s="9">
        <v>721.0</v>
      </c>
      <c r="B722" s="21" t="str">
        <f>IFERROR(__xludf.DUMMYFUNCTION("""COMPUTED_VALUE"""),"Sword of Trust")</f>
        <v>Sword of Trust</v>
      </c>
      <c r="C722" s="21" t="str">
        <f>IFERROR(__xludf.DUMMYFUNCTION("""COMPUTED_VALUE"""),"Lynn Shelton")</f>
        <v>Lynn Shelton</v>
      </c>
      <c r="D722" s="21" t="str">
        <f>IFERROR(__xludf.DUMMYFUNCTION("""COMPUTED_VALUE"""),"2019")</f>
        <v>2019</v>
      </c>
    </row>
    <row r="723" ht="15.75" customHeight="1">
      <c r="A723" s="9">
        <v>722.0</v>
      </c>
      <c r="B723" s="21" t="str">
        <f>IFERROR(__xludf.DUMMYFUNCTION("""COMPUTED_VALUE"""),"System Crasher")</f>
        <v>System Crasher</v>
      </c>
      <c r="C723" s="21" t="str">
        <f>IFERROR(__xludf.DUMMYFUNCTION("""COMPUTED_VALUE"""),"Nora Fingscheidt")</f>
        <v>Nora Fingscheidt</v>
      </c>
      <c r="D723" s="21" t="str">
        <f>IFERROR(__xludf.DUMMYFUNCTION("""COMPUTED_VALUE"""),"2019")</f>
        <v>2019</v>
      </c>
    </row>
    <row r="724" ht="15.75" customHeight="1">
      <c r="A724" s="9">
        <v>723.0</v>
      </c>
      <c r="B724" s="21" t="str">
        <f>IFERROR(__xludf.DUMMYFUNCTION("""COMPUTED_VALUE"""),"To the Stars")</f>
        <v>To the Stars</v>
      </c>
      <c r="C724" s="21" t="str">
        <f>IFERROR(__xludf.DUMMYFUNCTION("""COMPUTED_VALUE"""),"Martha Stephens")</f>
        <v>Martha Stephens</v>
      </c>
      <c r="D724" s="21" t="str">
        <f>IFERROR(__xludf.DUMMYFUNCTION("""COMPUTED_VALUE"""),"2019")</f>
        <v>2019</v>
      </c>
    </row>
    <row r="725" ht="15.75" customHeight="1">
      <c r="A725" s="9">
        <v>724.0</v>
      </c>
      <c r="B725" s="21" t="str">
        <f>IFERROR(__xludf.DUMMYFUNCTION("""COMPUTED_VALUE"""),"The Wall of Mexico")</f>
        <v>The Wall of Mexico</v>
      </c>
      <c r="C725" s="21" t="str">
        <f>IFERROR(__xludf.DUMMYFUNCTION("""COMPUTED_VALUE"""),"Magdalena Zyzak")</f>
        <v>Magdalena Zyzak</v>
      </c>
      <c r="D725" s="21" t="str">
        <f>IFERROR(__xludf.DUMMYFUNCTION("""COMPUTED_VALUE"""),"2019")</f>
        <v>2019</v>
      </c>
    </row>
    <row r="726" ht="15.75" customHeight="1">
      <c r="A726" s="9">
        <v>725.0</v>
      </c>
      <c r="B726" s="21" t="str">
        <f>IFERROR(__xludf.DUMMYFUNCTION("""COMPUTED_VALUE"""),"When I'm a Moth")</f>
        <v>When I'm a Moth</v>
      </c>
      <c r="C726" s="21" t="str">
        <f>IFERROR(__xludf.DUMMYFUNCTION("""COMPUTED_VALUE"""),"Magdalena Zyzak")</f>
        <v>Magdalena Zyzak</v>
      </c>
      <c r="D726" s="21" t="str">
        <f>IFERROR(__xludf.DUMMYFUNCTION("""COMPUTED_VALUE"""),"2019")</f>
        <v>2019</v>
      </c>
    </row>
    <row r="727" ht="15.75" customHeight="1">
      <c r="A727" s="9">
        <v>726.0</v>
      </c>
      <c r="B727" s="21" t="str">
        <f>IFERROR(__xludf.DUMMYFUNCTION("""COMPUTED_VALUE"""),"12 Hour Shift")</f>
        <v>12 Hour Shift</v>
      </c>
      <c r="C727" s="21" t="str">
        <f>IFERROR(__xludf.DUMMYFUNCTION("""COMPUTED_VALUE"""),"Brea Grant")</f>
        <v>Brea Grant</v>
      </c>
      <c r="D727" s="21" t="str">
        <f>IFERROR(__xludf.DUMMYFUNCTION("""COMPUTED_VALUE"""),"2020")</f>
        <v>2020</v>
      </c>
    </row>
    <row r="728" ht="15.75" customHeight="1">
      <c r="A728" s="9">
        <v>727.0</v>
      </c>
      <c r="B728" s="21" t="str">
        <f>IFERROR(__xludf.DUMMYFUNCTION("""COMPUTED_VALUE"""),"Amulet")</f>
        <v>Amulet</v>
      </c>
      <c r="C728" s="21" t="str">
        <f>IFERROR(__xludf.DUMMYFUNCTION("""COMPUTED_VALUE"""),"Romola Garai")</f>
        <v>Romola Garai</v>
      </c>
      <c r="D728" s="21" t="str">
        <f>IFERROR(__xludf.DUMMYFUNCTION("""COMPUTED_VALUE"""),"2020")</f>
        <v>2020</v>
      </c>
    </row>
    <row r="729" ht="15.75" customHeight="1">
      <c r="A729" s="9">
        <v>728.0</v>
      </c>
      <c r="B729" s="21" t="str">
        <f>IFERROR(__xludf.DUMMYFUNCTION("""COMPUTED_VALUE"""),"Berlin, Berlin – Der Film")</f>
        <v>Berlin, Berlin – Der Film</v>
      </c>
      <c r="C729" s="21" t="str">
        <f>IFERROR(__xludf.DUMMYFUNCTION("""COMPUTED_VALUE"""),"Franziska Meyer Price")</f>
        <v>Franziska Meyer Price</v>
      </c>
      <c r="D729" s="21" t="str">
        <f>IFERROR(__xludf.DUMMYFUNCTION("""COMPUTED_VALUE"""),"2020")</f>
        <v>2020</v>
      </c>
    </row>
    <row r="730" ht="15.75" customHeight="1">
      <c r="A730" s="9">
        <v>729.0</v>
      </c>
      <c r="B730" s="21" t="str">
        <f>IFERROR(__xludf.DUMMYFUNCTION("""COMPUTED_VALUE"""),"Between Waves")</f>
        <v>Between Waves</v>
      </c>
      <c r="C730" s="21" t="str">
        <f>IFERROR(__xludf.DUMMYFUNCTION("""COMPUTED_VALUE"""),"Virginia Abramovich")</f>
        <v>Virginia Abramovich</v>
      </c>
      <c r="D730" s="21" t="str">
        <f>IFERROR(__xludf.DUMMYFUNCTION("""COMPUTED_VALUE"""),"2020")</f>
        <v>2020</v>
      </c>
    </row>
    <row r="731" ht="15.75" customHeight="1">
      <c r="A731" s="9">
        <v>730.0</v>
      </c>
      <c r="B731" s="21" t="str">
        <f>IFERROR(__xludf.DUMMYFUNCTION("""COMPUTED_VALUE"""),"Birds of Prey")</f>
        <v>Birds of Prey</v>
      </c>
      <c r="C731" s="21" t="str">
        <f>IFERROR(__xludf.DUMMYFUNCTION("""COMPUTED_VALUE"""),"Cathy Yan")</f>
        <v>Cathy Yan</v>
      </c>
      <c r="D731" s="21" t="str">
        <f>IFERROR(__xludf.DUMMYFUNCTION("""COMPUTED_VALUE"""),"2020")</f>
        <v>2020</v>
      </c>
    </row>
    <row r="732" ht="15.75" customHeight="1">
      <c r="A732" s="9">
        <v>731.0</v>
      </c>
      <c r="B732" s="21" t="str">
        <f>IFERROR(__xludf.DUMMYFUNCTION("""COMPUTED_VALUE"""),"The Broken Hearts Gallery")</f>
        <v>The Broken Hearts Gallery</v>
      </c>
      <c r="C732" s="21" t="str">
        <f>IFERROR(__xludf.DUMMYFUNCTION("""COMPUTED_VALUE"""),"Natalie Krinsky")</f>
        <v>Natalie Krinsky</v>
      </c>
      <c r="D732" s="21" t="str">
        <f>IFERROR(__xludf.DUMMYFUNCTION("""COMPUTED_VALUE"""),"2020")</f>
        <v>2020</v>
      </c>
    </row>
    <row r="733" ht="15.75" customHeight="1">
      <c r="A733" s="9">
        <v>732.0</v>
      </c>
      <c r="B733" s="21" t="str">
        <f>IFERROR(__xludf.DUMMYFUNCTION("""COMPUTED_VALUE"""),"Charlatan (Šarlatán)")</f>
        <v>Charlatan (Šarlatán)</v>
      </c>
      <c r="C733" s="21" t="str">
        <f>IFERROR(__xludf.DUMMYFUNCTION("""COMPUTED_VALUE"""),"Agnieszka Holland")</f>
        <v>Agnieszka Holland</v>
      </c>
      <c r="D733" s="21" t="str">
        <f>IFERROR(__xludf.DUMMYFUNCTION("""COMPUTED_VALUE"""),"2020")</f>
        <v>2020</v>
      </c>
    </row>
    <row r="734" ht="15.75" customHeight="1">
      <c r="A734" s="9">
        <v>733.0</v>
      </c>
      <c r="B734" s="21" t="str">
        <f>IFERROR(__xludf.DUMMYFUNCTION("""COMPUTED_VALUE"""),"Charter")</f>
        <v>Charter</v>
      </c>
      <c r="C734" s="21" t="str">
        <f>IFERROR(__xludf.DUMMYFUNCTION("""COMPUTED_VALUE"""),"Amanda Kernell")</f>
        <v>Amanda Kernell</v>
      </c>
      <c r="D734" s="21" t="str">
        <f>IFERROR(__xludf.DUMMYFUNCTION("""COMPUTED_VALUE"""),"2020")</f>
        <v>2020</v>
      </c>
    </row>
    <row r="735" ht="15.75" customHeight="1">
      <c r="A735" s="9">
        <v>734.0</v>
      </c>
      <c r="B735" s="21" t="str">
        <f>IFERROR(__xludf.DUMMYFUNCTION("""COMPUTED_VALUE"""),"The Craft: Legacy")</f>
        <v>The Craft: Legacy</v>
      </c>
      <c r="C735" s="21" t="str">
        <f>IFERROR(__xludf.DUMMYFUNCTION("""COMPUTED_VALUE"""),"Zoe Lister-Jones")</f>
        <v>Zoe Lister-Jones</v>
      </c>
      <c r="D735" s="21" t="str">
        <f>IFERROR(__xludf.DUMMYFUNCTION("""COMPUTED_VALUE"""),"2020")</f>
        <v>2020</v>
      </c>
    </row>
    <row r="736" ht="15.75" customHeight="1">
      <c r="A736" s="9">
        <v>735.0</v>
      </c>
      <c r="B736" s="21" t="str">
        <f>IFERROR(__xludf.DUMMYFUNCTION("""COMPUTED_VALUE"""),"The Curse of Willow Song")</f>
        <v>The Curse of Willow Song</v>
      </c>
      <c r="C736" s="21" t="str">
        <f>IFERROR(__xludf.DUMMYFUNCTION("""COMPUTED_VALUE"""),"Karen Lam")</f>
        <v>Karen Lam</v>
      </c>
      <c r="D736" s="21" t="str">
        <f>IFERROR(__xludf.DUMMYFUNCTION("""COMPUTED_VALUE"""),"2020")</f>
        <v>2020</v>
      </c>
    </row>
    <row r="737" ht="15.75" customHeight="1">
      <c r="A737" s="9">
        <v>736.0</v>
      </c>
      <c r="B737" s="21" t="str">
        <f>IFERROR(__xludf.DUMMYFUNCTION("""COMPUTED_VALUE"""),"Emma")</f>
        <v>Emma</v>
      </c>
      <c r="C737" s="21" t="str">
        <f>IFERROR(__xludf.DUMMYFUNCTION("""COMPUTED_VALUE"""),"Autumn de Wilde")</f>
        <v>Autumn de Wilde</v>
      </c>
      <c r="D737" s="21" t="str">
        <f>IFERROR(__xludf.DUMMYFUNCTION("""COMPUTED_VALUE"""),"2020")</f>
        <v>2020</v>
      </c>
    </row>
    <row r="738" ht="15.75" customHeight="1">
      <c r="A738" s="9">
        <v>737.0</v>
      </c>
      <c r="B738" s="21" t="str">
        <f>IFERROR(__xludf.DUMMYFUNCTION("""COMPUTED_VALUE"""),"Father of the Bride Part 3(ish)")</f>
        <v>Father of the Bride Part 3(ish)</v>
      </c>
      <c r="C738" s="21" t="str">
        <f>IFERROR(__xludf.DUMMYFUNCTION("""COMPUTED_VALUE"""),"Nancy Meyers")</f>
        <v>Nancy Meyers</v>
      </c>
      <c r="D738" s="21" t="str">
        <f>IFERROR(__xludf.DUMMYFUNCTION("""COMPUTED_VALUE"""),"2020")</f>
        <v>2020</v>
      </c>
    </row>
    <row r="739" ht="15.75" customHeight="1">
      <c r="A739" s="9">
        <v>738.0</v>
      </c>
      <c r="B739" s="21" t="str">
        <f>IFERROR(__xludf.DUMMYFUNCTION("""COMPUTED_VALUE"""),"The Forty-Year-Old Version")</f>
        <v>The Forty-Year-Old Version</v>
      </c>
      <c r="C739" s="21" t="str">
        <f>IFERROR(__xludf.DUMMYFUNCTION("""COMPUTED_VALUE"""),"Rahda Blank")</f>
        <v>Rahda Blank</v>
      </c>
      <c r="D739" s="21" t="str">
        <f>IFERROR(__xludf.DUMMYFUNCTION("""COMPUTED_VALUE"""),"2020")</f>
        <v>2020</v>
      </c>
    </row>
    <row r="740" ht="15.75" customHeight="1">
      <c r="A740" s="9">
        <v>739.0</v>
      </c>
      <c r="B740" s="21" t="str">
        <f>IFERROR(__xludf.DUMMYFUNCTION("""COMPUTED_VALUE"""),"The Glorias")</f>
        <v>The Glorias</v>
      </c>
      <c r="C740" s="21" t="str">
        <f>IFERROR(__xludf.DUMMYFUNCTION("""COMPUTED_VALUE"""),"Julie Taymor")</f>
        <v>Julie Taymor</v>
      </c>
      <c r="D740" s="21" t="str">
        <f>IFERROR(__xludf.DUMMYFUNCTION("""COMPUTED_VALUE"""),"2020")</f>
        <v>2020</v>
      </c>
    </row>
    <row r="741" ht="15.75" customHeight="1">
      <c r="A741" s="9">
        <v>740.0</v>
      </c>
      <c r="B741" s="21" t="str">
        <f>IFERROR(__xludf.DUMMYFUNCTION("""COMPUTED_VALUE"""),"The High Note")</f>
        <v>The High Note</v>
      </c>
      <c r="C741" s="21" t="str">
        <f>IFERROR(__xludf.DUMMYFUNCTION("""COMPUTED_VALUE"""),"Nisha Ganatra")</f>
        <v>Nisha Ganatra</v>
      </c>
      <c r="D741" s="21" t="str">
        <f>IFERROR(__xludf.DUMMYFUNCTION("""COMPUTED_VALUE"""),"2020")</f>
        <v>2020</v>
      </c>
    </row>
    <row r="742" ht="15.75" customHeight="1">
      <c r="A742" s="9">
        <v>741.0</v>
      </c>
      <c r="B742" s="21" t="str">
        <f>IFERROR(__xludf.DUMMYFUNCTION("""COMPUTED_VALUE"""),"Holler")</f>
        <v>Holler</v>
      </c>
      <c r="C742" s="21" t="str">
        <f>IFERROR(__xludf.DUMMYFUNCTION("""COMPUTED_VALUE"""),"Nicole Riegel")</f>
        <v>Nicole Riegel</v>
      </c>
      <c r="D742" s="21" t="str">
        <f>IFERROR(__xludf.DUMMYFUNCTION("""COMPUTED_VALUE"""),"2020")</f>
        <v>2020</v>
      </c>
    </row>
    <row r="743" ht="15.75" customHeight="1">
      <c r="A743" s="9">
        <v>742.0</v>
      </c>
      <c r="B743" s="21" t="str">
        <f>IFERROR(__xludf.DUMMYFUNCTION("""COMPUTED_VALUE"""),"I'm Your Woman")</f>
        <v>I'm Your Woman</v>
      </c>
      <c r="C743" s="21" t="str">
        <f>IFERROR(__xludf.DUMMYFUNCTION("""COMPUTED_VALUE"""),"Julia Hart")</f>
        <v>Julia Hart</v>
      </c>
      <c r="D743" s="21" t="str">
        <f>IFERROR(__xludf.DUMMYFUNCTION("""COMPUTED_VALUE"""),"2020")</f>
        <v>2020</v>
      </c>
    </row>
    <row r="744" ht="15.75" customHeight="1">
      <c r="A744" s="9">
        <v>743.0</v>
      </c>
      <c r="B744" s="21" t="str">
        <f>IFERROR(__xludf.DUMMYFUNCTION("""COMPUTED_VALUE"""),"Kajillionaire")</f>
        <v>Kajillionaire</v>
      </c>
      <c r="C744" s="21" t="str">
        <f>IFERROR(__xludf.DUMMYFUNCTION("""COMPUTED_VALUE"""),"Miranda July")</f>
        <v>Miranda July</v>
      </c>
      <c r="D744" s="21" t="str">
        <f>IFERROR(__xludf.DUMMYFUNCTION("""COMPUTED_VALUE"""),"2020")</f>
        <v>2020</v>
      </c>
    </row>
    <row r="745" ht="15.75" customHeight="1">
      <c r="A745" s="9">
        <v>744.0</v>
      </c>
      <c r="B745" s="21" t="str">
        <f>IFERROR(__xludf.DUMMYFUNCTION("""COMPUTED_VALUE"""),"Ladies of Steel")</f>
        <v>Ladies of Steel</v>
      </c>
      <c r="C745" s="21" t="str">
        <f>IFERROR(__xludf.DUMMYFUNCTION("""COMPUTED_VALUE"""),"Pamela Tola")</f>
        <v>Pamela Tola</v>
      </c>
      <c r="D745" s="21" t="str">
        <f>IFERROR(__xludf.DUMMYFUNCTION("""COMPUTED_VALUE"""),"2020")</f>
        <v>2020</v>
      </c>
    </row>
    <row r="746" ht="15.75" customHeight="1">
      <c r="A746" s="9">
        <v>745.0</v>
      </c>
      <c r="B746" s="21" t="str">
        <f>IFERROR(__xludf.DUMMYFUNCTION("""COMPUTED_VALUE"""),"Lucky")</f>
        <v>Lucky</v>
      </c>
      <c r="C746" s="21" t="str">
        <f>IFERROR(__xludf.DUMMYFUNCTION("""COMPUTED_VALUE"""),"Natasha Kermani")</f>
        <v>Natasha Kermani</v>
      </c>
      <c r="D746" s="21" t="str">
        <f>IFERROR(__xludf.DUMMYFUNCTION("""COMPUTED_VALUE"""),"2020")</f>
        <v>2020</v>
      </c>
    </row>
    <row r="747" ht="15.75" customHeight="1">
      <c r="A747" s="9">
        <v>746.0</v>
      </c>
      <c r="B747" s="21" t="str">
        <f>IFERROR(__xludf.DUMMYFUNCTION("""COMPUTED_VALUE"""),"Lorelei")</f>
        <v>Lorelei</v>
      </c>
      <c r="C747" s="21" t="str">
        <f>IFERROR(__xludf.DUMMYFUNCTION("""COMPUTED_VALUE"""),"Sabrina Doyle")</f>
        <v>Sabrina Doyle</v>
      </c>
      <c r="D747" s="21" t="str">
        <f>IFERROR(__xludf.DUMMYFUNCTION("""COMPUTED_VALUE"""),"2020")</f>
        <v>2020</v>
      </c>
    </row>
    <row r="748" ht="15.75" customHeight="1">
      <c r="A748" s="9">
        <v>747.0</v>
      </c>
      <c r="B748" s="21" t="str">
        <f>IFERROR(__xludf.DUMMYFUNCTION("""COMPUTED_VALUE"""),"Mainstream")</f>
        <v>Mainstream</v>
      </c>
      <c r="C748" s="21" t="str">
        <f>IFERROR(__xludf.DUMMYFUNCTION("""COMPUTED_VALUE"""),"Gia Coppola")</f>
        <v>Gia Coppola</v>
      </c>
      <c r="D748" s="21" t="str">
        <f>IFERROR(__xludf.DUMMYFUNCTION("""COMPUTED_VALUE"""),"2020")</f>
        <v>2020</v>
      </c>
    </row>
    <row r="749" ht="15.75" customHeight="1">
      <c r="A749" s="9">
        <v>748.0</v>
      </c>
      <c r="B749" s="21" t="str">
        <f>IFERROR(__xludf.DUMMYFUNCTION("""COMPUTED_VALUE"""),"Misbehaviour")</f>
        <v>Misbehaviour</v>
      </c>
      <c r="C749" s="21" t="str">
        <f>IFERROR(__xludf.DUMMYFUNCTION("""COMPUTED_VALUE"""),"Philippa Lowthorpe")</f>
        <v>Philippa Lowthorpe</v>
      </c>
      <c r="D749" s="21" t="str">
        <f>IFERROR(__xludf.DUMMYFUNCTION("""COMPUTED_VALUE"""),"2020")</f>
        <v>2020</v>
      </c>
    </row>
    <row r="750" ht="15.75" customHeight="1">
      <c r="A750" s="9">
        <v>749.0</v>
      </c>
      <c r="B750" s="21" t="str">
        <f>IFERROR(__xludf.DUMMYFUNCTION("""COMPUTED_VALUE"""),"Never Rarely Sometimes Always")</f>
        <v>Never Rarely Sometimes Always</v>
      </c>
      <c r="C750" s="21" t="str">
        <f>IFERROR(__xludf.DUMMYFUNCTION("""COMPUTED_VALUE"""),"Eliza Hittman")</f>
        <v>Eliza Hittman</v>
      </c>
      <c r="D750" s="21" t="str">
        <f>IFERROR(__xludf.DUMMYFUNCTION("""COMPUTED_VALUE"""),"2020")</f>
        <v>2020</v>
      </c>
    </row>
    <row r="751" ht="15.75" customHeight="1">
      <c r="A751" s="9">
        <v>750.0</v>
      </c>
      <c r="B751" s="21" t="str">
        <f>IFERROR(__xludf.DUMMYFUNCTION("""COMPUTED_VALUE"""),"Nomadland")</f>
        <v>Nomadland</v>
      </c>
      <c r="C751" s="21" t="str">
        <f>IFERROR(__xludf.DUMMYFUNCTION("""COMPUTED_VALUE"""),"Chloé Zhao")</f>
        <v>Chloé Zhao</v>
      </c>
      <c r="D751" s="21" t="str">
        <f>IFERROR(__xludf.DUMMYFUNCTION("""COMPUTED_VALUE"""),"2020")</f>
        <v>2020</v>
      </c>
    </row>
    <row r="752" ht="15.75" customHeight="1">
      <c r="A752" s="9">
        <v>751.0</v>
      </c>
      <c r="B752" s="21" t="str">
        <f>IFERROR(__xludf.DUMMYFUNCTION("""COMPUTED_VALUE"""),"The Old Guard")</f>
        <v>The Old Guard</v>
      </c>
      <c r="C752" s="21" t="str">
        <f>IFERROR(__xludf.DUMMYFUNCTION("""COMPUTED_VALUE"""),"Gina Prince-Bythewood")</f>
        <v>Gina Prince-Bythewood</v>
      </c>
      <c r="D752" s="21" t="str">
        <f>IFERROR(__xludf.DUMMYFUNCTION("""COMPUTED_VALUE"""),"2020")</f>
        <v>2020</v>
      </c>
    </row>
    <row r="753" ht="15.75" customHeight="1">
      <c r="A753" s="9">
        <v>752.0</v>
      </c>
      <c r="B753" s="21" t="str">
        <f>IFERROR(__xludf.DUMMYFUNCTION("""COMPUTED_VALUE"""),"Promising Young Woman")</f>
        <v>Promising Young Woman</v>
      </c>
      <c r="C753" s="21" t="str">
        <f>IFERROR(__xludf.DUMMYFUNCTION("""COMPUTED_VALUE"""),"Emerald Fennell")</f>
        <v>Emerald Fennell</v>
      </c>
      <c r="D753" s="21" t="str">
        <f>IFERROR(__xludf.DUMMYFUNCTION("""COMPUTED_VALUE"""),"2020")</f>
        <v>2020</v>
      </c>
    </row>
    <row r="754" ht="15.75" customHeight="1">
      <c r="A754" s="9">
        <v>753.0</v>
      </c>
      <c r="B754" s="21" t="str">
        <f>IFERROR(__xludf.DUMMYFUNCTION("""COMPUTED_VALUE"""),"Quo Vadis, Aida?")</f>
        <v>Quo Vadis, Aida?</v>
      </c>
      <c r="C754" s="21" t="str">
        <f>IFERROR(__xludf.DUMMYFUNCTION("""COMPUTED_VALUE"""),"Jasmila Žbanić")</f>
        <v>Jasmila Žbanić</v>
      </c>
      <c r="D754" s="21" t="str">
        <f>IFERROR(__xludf.DUMMYFUNCTION("""COMPUTED_VALUE"""),"2020")</f>
        <v>2020</v>
      </c>
    </row>
    <row r="755" ht="15.75" customHeight="1">
      <c r="A755" s="9">
        <v>754.0</v>
      </c>
      <c r="B755" s="21" t="str">
        <f>IFERROR(__xludf.DUMMYFUNCTION("""COMPUTED_VALUE"""),"Relic")</f>
        <v>Relic</v>
      </c>
      <c r="C755" s="21" t="str">
        <f>IFERROR(__xludf.DUMMYFUNCTION("""COMPUTED_VALUE"""),"Natalie Erika James")</f>
        <v>Natalie Erika James</v>
      </c>
      <c r="D755" s="21" t="str">
        <f>IFERROR(__xludf.DUMMYFUNCTION("""COMPUTED_VALUE"""),"2020")</f>
        <v>2020</v>
      </c>
    </row>
    <row r="756" ht="15.75" customHeight="1">
      <c r="A756" s="9">
        <v>755.0</v>
      </c>
      <c r="B756" s="21" t="str">
        <f>IFERROR(__xludf.DUMMYFUNCTION("""COMPUTED_VALUE"""),"The Rhythm Section")</f>
        <v>The Rhythm Section</v>
      </c>
      <c r="C756" s="21" t="str">
        <f>IFERROR(__xludf.DUMMYFUNCTION("""COMPUTED_VALUE"""),"Reed Morano")</f>
        <v>Reed Morano</v>
      </c>
      <c r="D756" s="21" t="str">
        <f>IFERROR(__xludf.DUMMYFUNCTION("""COMPUTED_VALUE"""),"2020")</f>
        <v>2020</v>
      </c>
    </row>
    <row r="757" ht="15.75" customHeight="1">
      <c r="A757" s="9">
        <v>756.0</v>
      </c>
      <c r="B757" s="21" t="str">
        <f>IFERROR(__xludf.DUMMYFUNCTION("""COMPUTED_VALUE"""),"The Roads Not Taken")</f>
        <v>The Roads Not Taken</v>
      </c>
      <c r="C757" s="21" t="str">
        <f>IFERROR(__xludf.DUMMYFUNCTION("""COMPUTED_VALUE"""),"Sally Potter")</f>
        <v>Sally Potter</v>
      </c>
      <c r="D757" s="21" t="str">
        <f>IFERROR(__xludf.DUMMYFUNCTION("""COMPUTED_VALUE"""),"2020")</f>
        <v>2020</v>
      </c>
    </row>
    <row r="758" ht="15.75" customHeight="1">
      <c r="A758" s="9">
        <v>757.0</v>
      </c>
      <c r="B758" s="21" t="str">
        <f>IFERROR(__xludf.DUMMYFUNCTION("""COMPUTED_VALUE"""),"Tove")</f>
        <v>Tove</v>
      </c>
      <c r="C758" s="21" t="str">
        <f>IFERROR(__xludf.DUMMYFUNCTION("""COMPUTED_VALUE"""),"Zaida Bergroth")</f>
        <v>Zaida Bergroth</v>
      </c>
      <c r="D758" s="21" t="str">
        <f>IFERROR(__xludf.DUMMYFUNCTION("""COMPUTED_VALUE"""),"2020")</f>
        <v>2020</v>
      </c>
    </row>
    <row r="759" ht="15.75" customHeight="1">
      <c r="A759" s="9">
        <v>758.0</v>
      </c>
      <c r="B759" s="21" t="str">
        <f>IFERROR(__xludf.DUMMYFUNCTION("""COMPUTED_VALUE"""),"She Dies Tomorrow")</f>
        <v>She Dies Tomorrow</v>
      </c>
      <c r="C759" s="21" t="str">
        <f>IFERROR(__xludf.DUMMYFUNCTION("""COMPUTED_VALUE"""),"Amy Seimetz")</f>
        <v>Amy Seimetz</v>
      </c>
      <c r="D759" s="21" t="str">
        <f>IFERROR(__xludf.DUMMYFUNCTION("""COMPUTED_VALUE"""),"2020")</f>
        <v>2020</v>
      </c>
    </row>
    <row r="760" ht="15.75" customHeight="1">
      <c r="A760" s="9">
        <v>759.0</v>
      </c>
      <c r="B760" s="21" t="str">
        <f>IFERROR(__xludf.DUMMYFUNCTION("""COMPUTED_VALUE"""),"Shirley")</f>
        <v>Shirley</v>
      </c>
      <c r="C760" s="21" t="str">
        <f>IFERROR(__xludf.DUMMYFUNCTION("""COMPUTED_VALUE"""),"Josephine Decker")</f>
        <v>Josephine Decker</v>
      </c>
      <c r="D760" s="21" t="str">
        <f>IFERROR(__xludf.DUMMYFUNCTION("""COMPUTED_VALUE"""),"2020")</f>
        <v>2020</v>
      </c>
    </row>
    <row r="761" ht="15.75" customHeight="1">
      <c r="A761" s="9">
        <v>760.0</v>
      </c>
      <c r="B761" s="21" t="str">
        <f>IFERROR(__xludf.DUMMYFUNCTION("""COMPUTED_VALUE"""),"Shiva Baby")</f>
        <v>Shiva Baby</v>
      </c>
      <c r="C761" s="21" t="str">
        <f>IFERROR(__xludf.DUMMYFUNCTION("""COMPUTED_VALUE"""),"Emma Seligman")</f>
        <v>Emma Seligman</v>
      </c>
      <c r="D761" s="21" t="str">
        <f>IFERROR(__xludf.DUMMYFUNCTION("""COMPUTED_VALUE"""),"2020")</f>
        <v>2020</v>
      </c>
    </row>
    <row r="762" ht="15.75" customHeight="1">
      <c r="A762" s="9">
        <v>761.0</v>
      </c>
      <c r="B762" s="21" t="str">
        <f>IFERROR(__xludf.DUMMYFUNCTION("""COMPUTED_VALUE"""),"The Three")</f>
        <v>The Three</v>
      </c>
      <c r="C762" s="21" t="str">
        <f>IFERROR(__xludf.DUMMYFUNCTION("""COMPUTED_VALUE"""),"Anna Melikian")</f>
        <v>Anna Melikian</v>
      </c>
      <c r="D762" s="21" t="str">
        <f>IFERROR(__xludf.DUMMYFUNCTION("""COMPUTED_VALUE"""),"2020")</f>
        <v>2020</v>
      </c>
    </row>
    <row r="763" ht="15.75" customHeight="1">
      <c r="A763" s="9">
        <v>762.0</v>
      </c>
      <c r="B763" s="21" t="str">
        <f>IFERROR(__xludf.DUMMYFUNCTION("""COMPUTED_VALUE"""),"What We Wanted")</f>
        <v>What We Wanted</v>
      </c>
      <c r="C763" s="21" t="str">
        <f>IFERROR(__xludf.DUMMYFUNCTION("""COMPUTED_VALUE"""),"Ulrike Kofler")</f>
        <v>Ulrike Kofler</v>
      </c>
      <c r="D763" s="21" t="str">
        <f>IFERROR(__xludf.DUMMYFUNCTION("""COMPUTED_VALUE"""),"2020")</f>
        <v>2020</v>
      </c>
    </row>
    <row r="764" ht="15.75" customHeight="1">
      <c r="A764" s="9">
        <v>763.0</v>
      </c>
      <c r="B764" s="21" t="str">
        <f>IFERROR(__xludf.DUMMYFUNCTION("""COMPUTED_VALUE"""),"Wonder Woman 1984")</f>
        <v>Wonder Woman 1984</v>
      </c>
      <c r="C764" s="21" t="str">
        <f>IFERROR(__xludf.DUMMYFUNCTION("""COMPUTED_VALUE"""),"Patty Jenkins")</f>
        <v>Patty Jenkins</v>
      </c>
      <c r="D764" s="21" t="str">
        <f>IFERROR(__xludf.DUMMYFUNCTION("""COMPUTED_VALUE"""),"2020")</f>
        <v>2020</v>
      </c>
    </row>
    <row r="765" ht="15.75" customHeight="1">
      <c r="A765" s="9">
        <v>764.0</v>
      </c>
      <c r="B765" s="21" t="str">
        <f>IFERROR(__xludf.DUMMYFUNCTION("""COMPUTED_VALUE"""),"The World to Come")</f>
        <v>The World to Come</v>
      </c>
      <c r="C765" s="21" t="str">
        <f>IFERROR(__xludf.DUMMYFUNCTION("""COMPUTED_VALUE"""),"Mona Fastvold")</f>
        <v>Mona Fastvold</v>
      </c>
      <c r="D765" s="21" t="str">
        <f>IFERROR(__xludf.DUMMYFUNCTION("""COMPUTED_VALUE"""),"2020")</f>
        <v>2020</v>
      </c>
    </row>
    <row r="766" ht="15.75" customHeight="1">
      <c r="A766" s="9">
        <v>765.0</v>
      </c>
      <c r="B766" s="21" t="str">
        <f>IFERROR(__xludf.DUMMYFUNCTION("""COMPUTED_VALUE"""),"70 Is Just a Number")</f>
        <v>70 Is Just a Number</v>
      </c>
      <c r="C766" s="21" t="str">
        <f>IFERROR(__xludf.DUMMYFUNCTION("""COMPUTED_VALUE"""),"Johanna Vuoksenmaa")</f>
        <v>Johanna Vuoksenmaa</v>
      </c>
      <c r="D766" s="21" t="str">
        <f>IFERROR(__xludf.DUMMYFUNCTION("""COMPUTED_VALUE"""),"2021")</f>
        <v>2021</v>
      </c>
    </row>
    <row r="767" ht="15.75" customHeight="1">
      <c r="A767" s="9">
        <v>766.0</v>
      </c>
      <c r="B767" s="21" t="str">
        <f>IFERROR(__xludf.DUMMYFUNCTION("""COMPUTED_VALUE"""),"A Mouthful of Air")</f>
        <v>A Mouthful of Air</v>
      </c>
      <c r="C767" s="21" t="str">
        <f>IFERROR(__xludf.DUMMYFUNCTION("""COMPUTED_VALUE"""),"Amy Koppelman")</f>
        <v>Amy Koppelman</v>
      </c>
      <c r="D767" s="21" t="str">
        <f>IFERROR(__xludf.DUMMYFUNCTION("""COMPUTED_VALUE"""),"2021")</f>
        <v>2021</v>
      </c>
    </row>
    <row r="768" ht="15.75" customHeight="1">
      <c r="A768" s="9">
        <v>767.0</v>
      </c>
      <c r="B768" s="21" t="str">
        <f>IFERROR(__xludf.DUMMYFUNCTION("""COMPUTED_VALUE"""),"Bergman Island")</f>
        <v>Bergman Island</v>
      </c>
      <c r="C768" s="21" t="str">
        <f>IFERROR(__xludf.DUMMYFUNCTION("""COMPUTED_VALUE"""),"Mia Hansen-Løve")</f>
        <v>Mia Hansen-Løve</v>
      </c>
      <c r="D768" s="21" t="str">
        <f>IFERROR(__xludf.DUMMYFUNCTION("""COMPUTED_VALUE"""),"2021")</f>
        <v>2021</v>
      </c>
    </row>
    <row r="769" ht="15.75" customHeight="1">
      <c r="A769" s="9">
        <v>768.0</v>
      </c>
      <c r="B769" s="21" t="str">
        <f>IFERROR(__xludf.DUMMYFUNCTION("""COMPUTED_VALUE"""),"Black Widow")</f>
        <v>Black Widow</v>
      </c>
      <c r="C769" s="21" t="str">
        <f>IFERROR(__xludf.DUMMYFUNCTION("""COMPUTED_VALUE"""),"Cate Shortland")</f>
        <v>Cate Shortland</v>
      </c>
      <c r="D769" s="21" t="str">
        <f>IFERROR(__xludf.DUMMYFUNCTION("""COMPUTED_VALUE"""),"2021")</f>
        <v>2021</v>
      </c>
    </row>
    <row r="770" ht="15.75" customHeight="1">
      <c r="A770" s="9">
        <v>769.0</v>
      </c>
      <c r="B770" s="21" t="str">
        <f>IFERROR(__xludf.DUMMYFUNCTION("""COMPUTED_VALUE"""),"Candyman")</f>
        <v>Candyman</v>
      </c>
      <c r="C770" s="21" t="str">
        <f>IFERROR(__xludf.DUMMYFUNCTION("""COMPUTED_VALUE"""),"Nia DaCosta")</f>
        <v>Nia DaCosta</v>
      </c>
      <c r="D770" s="21" t="str">
        <f>IFERROR(__xludf.DUMMYFUNCTION("""COMPUTED_VALUE"""),"2021")</f>
        <v>2021</v>
      </c>
    </row>
    <row r="771" ht="15.75" customHeight="1">
      <c r="A771" s="9">
        <v>770.0</v>
      </c>
      <c r="B771" s="21" t="str">
        <f>IFERROR(__xludf.DUMMYFUNCTION("""COMPUTED_VALUE"""),"Captain Volkonogov Escaped")</f>
        <v>Captain Volkonogov Escaped</v>
      </c>
      <c r="C771" s="21" t="str">
        <f>IFERROR(__xludf.DUMMYFUNCTION("""COMPUTED_VALUE"""),"Natasha Merkulova")</f>
        <v>Natasha Merkulova</v>
      </c>
      <c r="D771" s="21" t="str">
        <f>IFERROR(__xludf.DUMMYFUNCTION("""COMPUTED_VALUE"""),"2021")</f>
        <v>2021</v>
      </c>
    </row>
    <row r="772" ht="15.75" customHeight="1">
      <c r="A772" s="9">
        <v>771.0</v>
      </c>
      <c r="B772" s="21" t="str">
        <f>IFERROR(__xludf.DUMMYFUNCTION("""COMPUTED_VALUE"""),"Censor")</f>
        <v>Censor</v>
      </c>
      <c r="C772" s="21" t="str">
        <f>IFERROR(__xludf.DUMMYFUNCTION("""COMPUTED_VALUE"""),"Prano Bailey-Bond")</f>
        <v>Prano Bailey-Bond</v>
      </c>
      <c r="D772" s="21" t="str">
        <f>IFERROR(__xludf.DUMMYFUNCTION("""COMPUTED_VALUE"""),"2021")</f>
        <v>2021</v>
      </c>
    </row>
    <row r="773" ht="15.75" customHeight="1">
      <c r="A773" s="9">
        <v>772.0</v>
      </c>
      <c r="B773" s="21" t="str">
        <f>IFERROR(__xludf.DUMMYFUNCTION("""COMPUTED_VALUE"""),"CODA")</f>
        <v>CODA</v>
      </c>
      <c r="C773" s="21" t="str">
        <f>IFERROR(__xludf.DUMMYFUNCTION("""COMPUTED_VALUE"""),"Siân Heder")</f>
        <v>Siân Heder</v>
      </c>
      <c r="D773" s="21" t="str">
        <f>IFERROR(__xludf.DUMMYFUNCTION("""COMPUTED_VALUE"""),"2021")</f>
        <v>2021</v>
      </c>
    </row>
    <row r="774" ht="15.75" customHeight="1">
      <c r="A774" s="9">
        <v>773.0</v>
      </c>
      <c r="B774" s="21" t="str">
        <f>IFERROR(__xludf.DUMMYFUNCTION("""COMPUTED_VALUE"""),"The Divide")</f>
        <v>The Divide</v>
      </c>
      <c r="C774" s="21" t="str">
        <f>IFERROR(__xludf.DUMMYFUNCTION("""COMPUTED_VALUE"""),"Catherine Corsini")</f>
        <v>Catherine Corsini</v>
      </c>
      <c r="D774" s="21" t="str">
        <f>IFERROR(__xludf.DUMMYFUNCTION("""COMPUTED_VALUE"""),"2021")</f>
        <v>2021</v>
      </c>
    </row>
    <row r="775" ht="15.75" customHeight="1">
      <c r="A775" s="9">
        <v>774.0</v>
      </c>
      <c r="B775" s="21" t="str">
        <f>IFERROR(__xludf.DUMMYFUNCTION("""COMPUTED_VALUE"""),"Earwig")</f>
        <v>Earwig</v>
      </c>
      <c r="C775" s="21" t="str">
        <f>IFERROR(__xludf.DUMMYFUNCTION("""COMPUTED_VALUE"""),"Lucile Hadžihalilović")</f>
        <v>Lucile Hadžihalilović</v>
      </c>
      <c r="D775" s="21" t="str">
        <f>IFERROR(__xludf.DUMMYFUNCTION("""COMPUTED_VALUE"""),"2021")</f>
        <v>2021</v>
      </c>
    </row>
    <row r="776" ht="15.75" customHeight="1">
      <c r="A776" s="9">
        <v>775.0</v>
      </c>
      <c r="B776" s="21" t="str">
        <f>IFERROR(__xludf.DUMMYFUNCTION("""COMPUTED_VALUE"""),"Eternals")</f>
        <v>Eternals</v>
      </c>
      <c r="C776" s="21" t="str">
        <f>IFERROR(__xludf.DUMMYFUNCTION("""COMPUTED_VALUE"""),"Chloé Zhao")</f>
        <v>Chloé Zhao</v>
      </c>
      <c r="D776" s="21" t="str">
        <f>IFERROR(__xludf.DUMMYFUNCTION("""COMPUTED_VALUE"""),"2021")</f>
        <v>2021</v>
      </c>
    </row>
    <row r="777" ht="15.75" customHeight="1">
      <c r="A777" s="9">
        <v>776.0</v>
      </c>
      <c r="B777" s="21" t="str">
        <f>IFERROR(__xludf.DUMMYFUNCTION("""COMPUTED_VALUE"""),"The Fallout")</f>
        <v>The Fallout</v>
      </c>
      <c r="C777" s="21" t="str">
        <f>IFERROR(__xludf.DUMMYFUNCTION("""COMPUTED_VALUE"""),"Megan Park")</f>
        <v>Megan Park</v>
      </c>
      <c r="D777" s="21" t="str">
        <f>IFERROR(__xludf.DUMMYFUNCTION("""COMPUTED_VALUE"""),"2021")</f>
        <v>2021</v>
      </c>
    </row>
    <row r="778" ht="15.75" customHeight="1">
      <c r="A778" s="9">
        <v>777.0</v>
      </c>
      <c r="B778" s="21" t="str">
        <f>IFERROR(__xludf.DUMMYFUNCTION("""COMPUTED_VALUE"""),"Gerda")</f>
        <v>Gerda</v>
      </c>
      <c r="C778" s="21" t="str">
        <f>IFERROR(__xludf.DUMMYFUNCTION("""COMPUTED_VALUE"""),"Natalya Kudryashova")</f>
        <v>Natalya Kudryashova</v>
      </c>
      <c r="D778" s="21" t="str">
        <f>IFERROR(__xludf.DUMMYFUNCTION("""COMPUTED_VALUE"""),"2021")</f>
        <v>2021</v>
      </c>
    </row>
    <row r="779" ht="15.75" customHeight="1">
      <c r="A779" s="9">
        <v>778.0</v>
      </c>
      <c r="B779" s="21" t="str">
        <f>IFERROR(__xludf.DUMMYFUNCTION("""COMPUTED_VALUE"""),"Happening")</f>
        <v>Happening</v>
      </c>
      <c r="C779" s="21" t="str">
        <f>IFERROR(__xludf.DUMMYFUNCTION("""COMPUTED_VALUE"""),"Audrey Diwan")</f>
        <v>Audrey Diwan</v>
      </c>
      <c r="D779" s="21" t="str">
        <f>IFERROR(__xludf.DUMMYFUNCTION("""COMPUTED_VALUE"""),"2021")</f>
        <v>2021</v>
      </c>
    </row>
    <row r="780" ht="15.75" customHeight="1">
      <c r="A780" s="9">
        <v>779.0</v>
      </c>
      <c r="B780" s="21" t="str">
        <f>IFERROR(__xludf.DUMMYFUNCTION("""COMPUTED_VALUE"""),"I'm Your Man")</f>
        <v>I'm Your Man</v>
      </c>
      <c r="C780" s="21" t="str">
        <f>IFERROR(__xludf.DUMMYFUNCTION("""COMPUTED_VALUE"""),"Maria Schrader")</f>
        <v>Maria Schrader</v>
      </c>
      <c r="D780" s="21" t="str">
        <f>IFERROR(__xludf.DUMMYFUNCTION("""COMPUTED_VALUE"""),"2021")</f>
        <v>2021</v>
      </c>
    </row>
    <row r="781" ht="15.75" customHeight="1">
      <c r="A781" s="9">
        <v>780.0</v>
      </c>
      <c r="B781" s="21" t="str">
        <f>IFERROR(__xludf.DUMMYFUNCTION("""COMPUTED_VALUE"""),"The Lost Daughter")</f>
        <v>The Lost Daughter</v>
      </c>
      <c r="C781" s="21" t="str">
        <f>IFERROR(__xludf.DUMMYFUNCTION("""COMPUTED_VALUE"""),"Maggie Gyllenhaal")</f>
        <v>Maggie Gyllenhaal</v>
      </c>
      <c r="D781" s="21" t="str">
        <f>IFERROR(__xludf.DUMMYFUNCTION("""COMPUTED_VALUE"""),"2021")</f>
        <v>2021</v>
      </c>
    </row>
    <row r="782" ht="15.75" customHeight="1">
      <c r="A782" s="9">
        <v>781.0</v>
      </c>
      <c r="B782" s="21" t="str">
        <f>IFERROR(__xludf.DUMMYFUNCTION("""COMPUTED_VALUE"""),"The Manor")</f>
        <v>The Manor</v>
      </c>
      <c r="C782" s="21" t="str">
        <f>IFERROR(__xludf.DUMMYFUNCTION("""COMPUTED_VALUE"""),"Axelle Carolyn")</f>
        <v>Axelle Carolyn</v>
      </c>
      <c r="D782" s="21" t="str">
        <f>IFERROR(__xludf.DUMMYFUNCTION("""COMPUTED_VALUE"""),"2021")</f>
        <v>2021</v>
      </c>
    </row>
    <row r="783" ht="15.75" customHeight="1">
      <c r="A783" s="9">
        <v>782.0</v>
      </c>
      <c r="B783" s="21" t="str">
        <f>IFERROR(__xludf.DUMMYFUNCTION("""COMPUTED_VALUE"""),"Mark, Mary &amp; Some Other People")</f>
        <v>Mark, Mary &amp; Some Other People</v>
      </c>
      <c r="C783" s="21" t="str">
        <f>IFERROR(__xludf.DUMMYFUNCTION("""COMPUTED_VALUE"""),"Hannah Marks")</f>
        <v>Hannah Marks</v>
      </c>
      <c r="D783" s="21" t="str">
        <f>IFERROR(__xludf.DUMMYFUNCTION("""COMPUTED_VALUE"""),"2021")</f>
        <v>2021</v>
      </c>
    </row>
    <row r="784" ht="15.75" customHeight="1">
      <c r="A784" s="9">
        <v>783.0</v>
      </c>
      <c r="B784" s="21" t="str">
        <f>IFERROR(__xludf.DUMMYFUNCTION("""COMPUTED_VALUE"""),"The Matrix Resurrections")</f>
        <v>The Matrix Resurrections</v>
      </c>
      <c r="C784" s="21" t="str">
        <f>IFERROR(__xludf.DUMMYFUNCTION("""COMPUTED_VALUE"""),"Lana Wachowski")</f>
        <v>Lana Wachowski</v>
      </c>
      <c r="D784" s="21" t="str">
        <f>IFERROR(__xludf.DUMMYFUNCTION("""COMPUTED_VALUE"""),"2021")</f>
        <v>2021</v>
      </c>
    </row>
    <row r="785" ht="15.75" customHeight="1">
      <c r="A785" s="9">
        <v>784.0</v>
      </c>
      <c r="B785" s="21" t="str">
        <f>IFERROR(__xludf.DUMMYFUNCTION("""COMPUTED_VALUE"""),"Mayday")</f>
        <v>Mayday</v>
      </c>
      <c r="C785" s="21" t="str">
        <f>IFERROR(__xludf.DUMMYFUNCTION("""COMPUTED_VALUE"""),"Karen Cinorre")</f>
        <v>Karen Cinorre</v>
      </c>
      <c r="D785" s="21" t="str">
        <f>IFERROR(__xludf.DUMMYFUNCTION("""COMPUTED_VALUE"""),"2021")</f>
        <v>2021</v>
      </c>
    </row>
    <row r="786" ht="15.75" customHeight="1">
      <c r="A786" s="9">
        <v>785.0</v>
      </c>
      <c r="B786" s="21" t="str">
        <f>IFERROR(__xludf.DUMMYFUNCTION("""COMPUTED_VALUE"""),"Mona Lisa and the Blood Moon")</f>
        <v>Mona Lisa and the Blood Moon</v>
      </c>
      <c r="C786" s="21" t="str">
        <f>IFERROR(__xludf.DUMMYFUNCTION("""COMPUTED_VALUE"""),"Ana Lily Amirpour")</f>
        <v>Ana Lily Amirpour</v>
      </c>
      <c r="D786" s="21" t="str">
        <f>IFERROR(__xludf.DUMMYFUNCTION("""COMPUTED_VALUE"""),"2021")</f>
        <v>2021</v>
      </c>
    </row>
    <row r="787" ht="15.75" customHeight="1">
      <c r="A787" s="9">
        <v>786.0</v>
      </c>
      <c r="B787" s="21" t="str">
        <f>IFERROR(__xludf.DUMMYFUNCTION("""COMPUTED_VALUE"""),"Mothering Sunday")</f>
        <v>Mothering Sunday</v>
      </c>
      <c r="C787" s="21" t="str">
        <f>IFERROR(__xludf.DUMMYFUNCTION("""COMPUTED_VALUE"""),"Eva Husson")</f>
        <v>Eva Husson</v>
      </c>
      <c r="D787" s="21" t="str">
        <f>IFERROR(__xludf.DUMMYFUNCTION("""COMPUTED_VALUE"""),"2021")</f>
        <v>2021</v>
      </c>
    </row>
    <row r="788" ht="15.75" customHeight="1">
      <c r="A788" s="9">
        <v>787.0</v>
      </c>
      <c r="B788" s="21" t="str">
        <f>IFERROR(__xludf.DUMMYFUNCTION("""COMPUTED_VALUE"""),"The North Wind")</f>
        <v>The North Wind</v>
      </c>
      <c r="C788" s="21" t="str">
        <f>IFERROR(__xludf.DUMMYFUNCTION("""COMPUTED_VALUE"""),"Renata Litvinova")</f>
        <v>Renata Litvinova</v>
      </c>
      <c r="D788" s="21" t="str">
        <f>IFERROR(__xludf.DUMMYFUNCTION("""COMPUTED_VALUE"""),"2021")</f>
        <v>2021</v>
      </c>
    </row>
    <row r="789" ht="15.75" customHeight="1">
      <c r="A789" s="9">
        <v>788.0</v>
      </c>
      <c r="B789" s="21" t="str">
        <f>IFERROR(__xludf.DUMMYFUNCTION("""COMPUTED_VALUE"""),"The Novice")</f>
        <v>The Novice</v>
      </c>
      <c r="C789" s="21" t="str">
        <f>IFERROR(__xludf.DUMMYFUNCTION("""COMPUTED_VALUE"""),"Lauren Hadaway")</f>
        <v>Lauren Hadaway</v>
      </c>
      <c r="D789" s="21" t="str">
        <f>IFERROR(__xludf.DUMMYFUNCTION("""COMPUTED_VALUE"""),"2021")</f>
        <v>2021</v>
      </c>
    </row>
    <row r="790" ht="15.75" customHeight="1">
      <c r="A790" s="9">
        <v>789.0</v>
      </c>
      <c r="B790" s="21" t="str">
        <f>IFERROR(__xludf.DUMMYFUNCTION("""COMPUTED_VALUE"""),"Petite Maman")</f>
        <v>Petite Maman</v>
      </c>
      <c r="C790" s="21" t="str">
        <f>IFERROR(__xludf.DUMMYFUNCTION("""COMPUTED_VALUE"""),"Celine Sciamma")</f>
        <v>Celine Sciamma</v>
      </c>
      <c r="D790" s="21" t="str">
        <f>IFERROR(__xludf.DUMMYFUNCTION("""COMPUTED_VALUE"""),"2021")</f>
        <v>2021</v>
      </c>
    </row>
    <row r="791" ht="15.75" customHeight="1">
      <c r="A791" s="9">
        <v>790.0</v>
      </c>
      <c r="B791" s="21" t="str">
        <f>IFERROR(__xludf.DUMMYFUNCTION("""COMPUTED_VALUE"""),"Pleasure")</f>
        <v>Pleasure</v>
      </c>
      <c r="C791" s="21" t="str">
        <f>IFERROR(__xludf.DUMMYFUNCTION("""COMPUTED_VALUE"""),"Ninja Thyberg")</f>
        <v>Ninja Thyberg</v>
      </c>
      <c r="D791" s="21" t="str">
        <f>IFERROR(__xludf.DUMMYFUNCTION("""COMPUTED_VALUE"""),"2021")</f>
        <v>2021</v>
      </c>
    </row>
    <row r="792" ht="15.75" customHeight="1">
      <c r="A792" s="9">
        <v>791.0</v>
      </c>
      <c r="B792" s="21" t="str">
        <f>IFERROR(__xludf.DUMMYFUNCTION("""COMPUTED_VALUE"""),"The Power of the Dog")</f>
        <v>The Power of the Dog</v>
      </c>
      <c r="C792" s="21" t="str">
        <f>IFERROR(__xludf.DUMMYFUNCTION("""COMPUTED_VALUE"""),"Jane Campion")</f>
        <v>Jane Campion</v>
      </c>
      <c r="D792" s="21" t="str">
        <f>IFERROR(__xludf.DUMMYFUNCTION("""COMPUTED_VALUE"""),"2021")</f>
        <v>2021</v>
      </c>
    </row>
    <row r="793" ht="15.75" customHeight="1">
      <c r="A793" s="9">
        <v>792.0</v>
      </c>
      <c r="B793" s="21" t="str">
        <f>IFERROR(__xludf.DUMMYFUNCTION("""COMPUTED_VALUE"""),"Quarantine")</f>
        <v>Quarantine</v>
      </c>
      <c r="C793" s="21" t="str">
        <f>IFERROR(__xludf.DUMMYFUNCTION("""COMPUTED_VALUE"""),"Diana Ringo")</f>
        <v>Diana Ringo</v>
      </c>
      <c r="D793" s="21" t="str">
        <f>IFERROR(__xludf.DUMMYFUNCTION("""COMPUTED_VALUE"""),"2021")</f>
        <v>2021</v>
      </c>
    </row>
    <row r="794" ht="15.75" customHeight="1">
      <c r="A794" s="9">
        <v>793.0</v>
      </c>
      <c r="B794" s="21" t="str">
        <f>IFERROR(__xludf.DUMMYFUNCTION("""COMPUTED_VALUE"""),"She Will")</f>
        <v>She Will</v>
      </c>
      <c r="C794" s="21" t="str">
        <f>IFERROR(__xludf.DUMMYFUNCTION("""COMPUTED_VALUE"""),"Charlotte Colbert")</f>
        <v>Charlotte Colbert</v>
      </c>
      <c r="D794" s="21" t="str">
        <f>IFERROR(__xludf.DUMMYFUNCTION("""COMPUTED_VALUE"""),"2021")</f>
        <v>2021</v>
      </c>
    </row>
    <row r="795" ht="15.75" customHeight="1">
      <c r="A795" s="9">
        <v>794.0</v>
      </c>
      <c r="B795" s="21" t="str">
        <f>IFERROR(__xludf.DUMMYFUNCTION("""COMPUTED_VALUE"""),"Silent Night")</f>
        <v>Silent Night</v>
      </c>
      <c r="C795" s="21" t="str">
        <f>IFERROR(__xludf.DUMMYFUNCTION("""COMPUTED_VALUE"""),"Camille Griffin")</f>
        <v>Camille Griffin</v>
      </c>
      <c r="D795" s="21" t="str">
        <f>IFERROR(__xludf.DUMMYFUNCTION("""COMPUTED_VALUE"""),"2021")</f>
        <v>2021</v>
      </c>
    </row>
    <row r="796" ht="15.75" customHeight="1">
      <c r="A796" s="9">
        <v>795.0</v>
      </c>
      <c r="B796" s="21" t="str">
        <f>IFERROR(__xludf.DUMMYFUNCTION("""COMPUTED_VALUE"""),"Stellar")</f>
        <v>Stellar</v>
      </c>
      <c r="C796" s="21" t="str">
        <f>IFERROR(__xludf.DUMMYFUNCTION("""COMPUTED_VALUE"""),"Darlene Naponse")</f>
        <v>Darlene Naponse</v>
      </c>
      <c r="D796" s="21" t="str">
        <f>IFERROR(__xludf.DUMMYFUNCTION("""COMPUTED_VALUE"""),"2021")</f>
        <v>2021</v>
      </c>
    </row>
    <row r="797" ht="15.75" customHeight="1">
      <c r="A797" s="9">
        <v>796.0</v>
      </c>
      <c r="B797" s="21" t="str">
        <f>IFERROR(__xludf.DUMMYFUNCTION("""COMPUTED_VALUE"""),"The Story of My Wife")</f>
        <v>The Story of My Wife</v>
      </c>
      <c r="C797" s="21" t="str">
        <f>IFERROR(__xludf.DUMMYFUNCTION("""COMPUTED_VALUE"""),"Ildikó Enyedi")</f>
        <v>Ildikó Enyedi</v>
      </c>
      <c r="D797" s="21" t="str">
        <f>IFERROR(__xludf.DUMMYFUNCTION("""COMPUTED_VALUE"""),"2021")</f>
        <v>2021</v>
      </c>
    </row>
    <row r="798" ht="15.75" customHeight="1">
      <c r="A798" s="9">
        <v>797.0</v>
      </c>
      <c r="B798" s="21" t="str">
        <f>IFERROR(__xludf.DUMMYFUNCTION("""COMPUTED_VALUE"""),"Sweetheart")</f>
        <v>Sweetheart</v>
      </c>
      <c r="C798" s="21" t="str">
        <f>IFERROR(__xludf.DUMMYFUNCTION("""COMPUTED_VALUE"""),"Marley Morrison")</f>
        <v>Marley Morrison</v>
      </c>
      <c r="D798" s="21" t="str">
        <f>IFERROR(__xludf.DUMMYFUNCTION("""COMPUTED_VALUE"""),"2021")</f>
        <v>2021</v>
      </c>
    </row>
    <row r="799" ht="15.75" customHeight="1">
      <c r="A799" s="9">
        <v>798.0</v>
      </c>
      <c r="B799" s="21" t="str">
        <f>IFERROR(__xludf.DUMMYFUNCTION("""COMPUTED_VALUE"""),"Titane")</f>
        <v>Titane</v>
      </c>
      <c r="C799" s="21" t="str">
        <f>IFERROR(__xludf.DUMMYFUNCTION("""COMPUTED_VALUE"""),"Julia Ducournau")</f>
        <v>Julia Ducournau</v>
      </c>
      <c r="D799" s="21" t="str">
        <f>IFERROR(__xludf.DUMMYFUNCTION("""COMPUTED_VALUE"""),"2021")</f>
        <v>2021</v>
      </c>
    </row>
    <row r="800" ht="15.75" customHeight="1">
      <c r="A800" s="9">
        <v>799.0</v>
      </c>
      <c r="B800" s="21" t="str">
        <f>IFERROR(__xludf.DUMMYFUNCTION("""COMPUTED_VALUE"""),"Together Together")</f>
        <v>Together Together</v>
      </c>
      <c r="C800" s="21" t="str">
        <f>IFERROR(__xludf.DUMMYFUNCTION("""COMPUTED_VALUE"""),"Nikole Beckwith")</f>
        <v>Nikole Beckwith</v>
      </c>
      <c r="D800" s="21" t="str">
        <f>IFERROR(__xludf.DUMMYFUNCTION("""COMPUTED_VALUE"""),"2021")</f>
        <v>2021</v>
      </c>
    </row>
    <row r="801" ht="15.75" customHeight="1">
      <c r="A801" s="9">
        <v>800.0</v>
      </c>
      <c r="B801" s="21" t="str">
        <f>IFERROR(__xludf.DUMMYFUNCTION("""COMPUTED_VALUE"""),"Unclenching the Fists")</f>
        <v>Unclenching the Fists</v>
      </c>
      <c r="C801" s="21" t="str">
        <f>IFERROR(__xludf.DUMMYFUNCTION("""COMPUTED_VALUE"""),"Kira Kovalenko")</f>
        <v>Kira Kovalenko</v>
      </c>
      <c r="D801" s="21" t="str">
        <f>IFERROR(__xludf.DUMMYFUNCTION("""COMPUTED_VALUE"""),"2021")</f>
        <v>2021</v>
      </c>
    </row>
    <row r="802" ht="15.75" customHeight="1">
      <c r="A802" s="9">
        <v>801.0</v>
      </c>
      <c r="B802" s="21" t="str">
        <f>IFERROR(__xludf.DUMMYFUNCTION("""COMPUTED_VALUE"""),"Violet")</f>
        <v>Violet</v>
      </c>
      <c r="C802" s="21" t="str">
        <f>IFERROR(__xludf.DUMMYFUNCTION("""COMPUTED_VALUE"""),"Justine Bateman")</f>
        <v>Justine Bateman</v>
      </c>
      <c r="D802" s="21" t="str">
        <f>IFERROR(__xludf.DUMMYFUNCTION("""COMPUTED_VALUE"""),"2021")</f>
        <v>2021</v>
      </c>
    </row>
    <row r="803" ht="15.75" customHeight="1">
      <c r="A803" s="9">
        <v>802.0</v>
      </c>
      <c r="B803" s="21" t="str">
        <f>IFERROR(__xludf.DUMMYFUNCTION("""COMPUTED_VALUE"""),"Wolf")</f>
        <v>Wolf</v>
      </c>
      <c r="C803" s="21" t="str">
        <f>IFERROR(__xludf.DUMMYFUNCTION("""COMPUTED_VALUE"""),"Nathalie Biancheri")</f>
        <v>Nathalie Biancheri</v>
      </c>
      <c r="D803" s="21" t="str">
        <f>IFERROR(__xludf.DUMMYFUNCTION("""COMPUTED_VALUE"""),"2021")</f>
        <v>2021</v>
      </c>
    </row>
    <row r="804" ht="15.75" customHeight="1">
      <c r="A804" s="9">
        <v>803.0</v>
      </c>
      <c r="B804" s="21" t="str">
        <f>IFERROR(__xludf.DUMMYFUNCTION("""COMPUTED_VALUE"""),"Yuni")</f>
        <v>Yuni</v>
      </c>
      <c r="C804" s="21" t="str">
        <f>IFERROR(__xludf.DUMMYFUNCTION("""COMPUTED_VALUE"""),"Kamila Andini")</f>
        <v>Kamila Andini</v>
      </c>
      <c r="D804" s="21" t="str">
        <f>IFERROR(__xludf.DUMMYFUNCTION("""COMPUTED_VALUE"""),"2021")</f>
        <v>2021</v>
      </c>
    </row>
    <row r="805" ht="15.75" customHeight="1">
      <c r="A805" s="9">
        <v>804.0</v>
      </c>
      <c r="B805" s="21" t="str">
        <f>IFERROR(__xludf.DUMMYFUNCTION("""COMPUTED_VALUE"""),"Zola")</f>
        <v>Zola</v>
      </c>
      <c r="C805" s="21" t="str">
        <f>IFERROR(__xludf.DUMMYFUNCTION("""COMPUTED_VALUE"""),"Janicza Bravo")</f>
        <v>Janicza Bravo</v>
      </c>
      <c r="D805" s="21" t="str">
        <f>IFERROR(__xludf.DUMMYFUNCTION("""COMPUTED_VALUE"""),"2021")</f>
        <v>2021</v>
      </c>
    </row>
    <row r="806" ht="15.75" customHeight="1">
      <c r="A806" s="9">
        <v>805.0</v>
      </c>
      <c r="B806" s="21" t="str">
        <f>IFERROR(__xludf.DUMMYFUNCTION("""COMPUTED_VALUE"""),"Aftersun")</f>
        <v>Aftersun</v>
      </c>
      <c r="C806" s="21" t="str">
        <f>IFERROR(__xludf.DUMMYFUNCTION("""COMPUTED_VALUE"""),"Charlotte Wells")</f>
        <v>Charlotte Wells</v>
      </c>
      <c r="D806" s="21" t="str">
        <f>IFERROR(__xludf.DUMMYFUNCTION("""COMPUTED_VALUE"""),"2022")</f>
        <v>2022</v>
      </c>
    </row>
    <row r="807" ht="15.75" customHeight="1">
      <c r="A807" s="9">
        <v>806.0</v>
      </c>
      <c r="B807" s="21" t="str">
        <f>IFERROR(__xludf.DUMMYFUNCTION("""COMPUTED_VALUE"""),"Alice, Darling")</f>
        <v>Alice, Darling</v>
      </c>
      <c r="C807" s="21" t="str">
        <f>IFERROR(__xludf.DUMMYFUNCTION("""COMPUTED_VALUE"""),"Mary Nighy")</f>
        <v>Mary Nighy</v>
      </c>
      <c r="D807" s="21" t="str">
        <f>IFERROR(__xludf.DUMMYFUNCTION("""COMPUTED_VALUE"""),"2022")</f>
        <v>2022</v>
      </c>
    </row>
    <row r="808" ht="15.75" customHeight="1">
      <c r="A808" s="9">
        <v>807.0</v>
      </c>
      <c r="B808" s="21" t="str">
        <f>IFERROR(__xludf.DUMMYFUNCTION("""COMPUTED_VALUE"""),"Amanda")</f>
        <v>Amanda</v>
      </c>
      <c r="C808" s="21" t="str">
        <f>IFERROR(__xludf.DUMMYFUNCTION("""COMPUTED_VALUE"""),"Carolina Cavalli")</f>
        <v>Carolina Cavalli</v>
      </c>
      <c r="D808" s="21" t="str">
        <f>IFERROR(__xludf.DUMMYFUNCTION("""COMPUTED_VALUE"""),"2022")</f>
        <v>2022</v>
      </c>
    </row>
    <row r="809" ht="15.75" customHeight="1">
      <c r="A809" s="9">
        <v>808.0</v>
      </c>
      <c r="B809" s="21" t="str">
        <f>IFERROR(__xludf.DUMMYFUNCTION("""COMPUTED_VALUE"""),"Aristotle and Dante Discover the Secrets of the Universe")</f>
        <v>Aristotle and Dante Discover the Secrets of the Universe</v>
      </c>
      <c r="C809" s="21" t="str">
        <f>IFERROR(__xludf.DUMMYFUNCTION("""COMPUTED_VALUE"""),"Aitch Alberto")</f>
        <v>Aitch Alberto</v>
      </c>
      <c r="D809" s="21" t="str">
        <f>IFERROR(__xludf.DUMMYFUNCTION("""COMPUTED_VALUE"""),"2022")</f>
        <v>2022</v>
      </c>
    </row>
    <row r="810" ht="15.75" customHeight="1">
      <c r="A810" s="9">
        <v>809.0</v>
      </c>
      <c r="B810" s="21" t="str">
        <f>IFERROR(__xludf.DUMMYFUNCTION("""COMPUTED_VALUE"""),"Batata")</f>
        <v>Batata</v>
      </c>
      <c r="C810" s="21" t="str">
        <f>IFERROR(__xludf.DUMMYFUNCTION("""COMPUTED_VALUE"""),"Noura Kevorkian")</f>
        <v>Noura Kevorkian</v>
      </c>
      <c r="D810" s="21" t="str">
        <f>IFERROR(__xludf.DUMMYFUNCTION("""COMPUTED_VALUE"""),"2022")</f>
        <v>2022</v>
      </c>
    </row>
    <row r="811" ht="15.75" customHeight="1">
      <c r="A811" s="9">
        <v>810.0</v>
      </c>
      <c r="B811" s="21" t="str">
        <f>IFERROR(__xludf.DUMMYFUNCTION("""COMPUTED_VALUE"""),"Bodies Bodies Bodies")</f>
        <v>Bodies Bodies Bodies</v>
      </c>
      <c r="C811" s="21" t="str">
        <f>IFERROR(__xludf.DUMMYFUNCTION("""COMPUTED_VALUE"""),"Halina Reijn")</f>
        <v>Halina Reijn</v>
      </c>
      <c r="D811" s="21" t="str">
        <f>IFERROR(__xludf.DUMMYFUNCTION("""COMPUTED_VALUE"""),"2022")</f>
        <v>2022</v>
      </c>
    </row>
    <row r="812" ht="15.75" customHeight="1">
      <c r="A812" s="9">
        <v>811.0</v>
      </c>
      <c r="B812" s="21" t="str">
        <f>IFERROR(__xludf.DUMMYFUNCTION("""COMPUTED_VALUE"""),"Both Sides of the Blade")</f>
        <v>Both Sides of the Blade</v>
      </c>
      <c r="C812" s="21" t="str">
        <f>IFERROR(__xludf.DUMMYFUNCTION("""COMPUTED_VALUE"""),"Claire Denis")</f>
        <v>Claire Denis</v>
      </c>
      <c r="D812" s="21" t="str">
        <f>IFERROR(__xludf.DUMMYFUNCTION("""COMPUTED_VALUE"""),"2022")</f>
        <v>2022</v>
      </c>
    </row>
    <row r="813" ht="15.75" customHeight="1">
      <c r="A813" s="9">
        <v>812.0</v>
      </c>
      <c r="B813" s="21" t="str">
        <f>IFERROR(__xludf.DUMMYFUNCTION("""COMPUTED_VALUE"""),"Continue")</f>
        <v>Continue</v>
      </c>
      <c r="C813" s="21" t="str">
        <f>IFERROR(__xludf.DUMMYFUNCTION("""COMPUTED_VALUE"""),"Nadine Crocker")</f>
        <v>Nadine Crocker</v>
      </c>
      <c r="D813" s="21" t="str">
        <f>IFERROR(__xludf.DUMMYFUNCTION("""COMPUTED_VALUE"""),"2022")</f>
        <v>2022</v>
      </c>
    </row>
    <row r="814" ht="15.75" customHeight="1">
      <c r="A814" s="9">
        <v>813.0</v>
      </c>
      <c r="B814" s="21" t="str">
        <f>IFERROR(__xludf.DUMMYFUNCTION("""COMPUTED_VALUE"""),"Corsage")</f>
        <v>Corsage</v>
      </c>
      <c r="C814" s="21" t="str">
        <f>IFERROR(__xludf.DUMMYFUNCTION("""COMPUTED_VALUE"""),"Marie Kreutzer")</f>
        <v>Marie Kreutzer</v>
      </c>
      <c r="D814" s="21" t="str">
        <f>IFERROR(__xludf.DUMMYFUNCTION("""COMPUTED_VALUE"""),"2022")</f>
        <v>2022</v>
      </c>
    </row>
    <row r="815" ht="15.75" customHeight="1">
      <c r="A815" s="9">
        <v>814.0</v>
      </c>
      <c r="B815" s="21" t="str">
        <f>IFERROR(__xludf.DUMMYFUNCTION("""COMPUTED_VALUE"""),"Dalíland")</f>
        <v>Dalíland</v>
      </c>
      <c r="C815" s="21" t="str">
        <f>IFERROR(__xludf.DUMMYFUNCTION("""COMPUTED_VALUE"""),"Mary Harron")</f>
        <v>Mary Harron</v>
      </c>
      <c r="D815" s="21" t="str">
        <f>IFERROR(__xludf.DUMMYFUNCTION("""COMPUTED_VALUE"""),"2022")</f>
        <v>2022</v>
      </c>
    </row>
    <row r="816" ht="15.75" customHeight="1">
      <c r="A816" s="9">
        <v>815.0</v>
      </c>
      <c r="B816" s="21" t="str">
        <f>IFERROR(__xludf.DUMMYFUNCTION("""COMPUTED_VALUE"""),"Deadstream")</f>
        <v>Deadstream</v>
      </c>
      <c r="C816" s="21" t="str">
        <f>IFERROR(__xludf.DUMMYFUNCTION("""COMPUTED_VALUE"""),"Vanessa Winters, co-directed with Joseph Winters")</f>
        <v>Vanessa Winters, co-directed with Joseph Winters</v>
      </c>
      <c r="D816" s="21" t="str">
        <f>IFERROR(__xludf.DUMMYFUNCTION("""COMPUTED_VALUE"""),"2022")</f>
        <v>2022</v>
      </c>
    </row>
    <row r="817" ht="15.75" customHeight="1">
      <c r="A817" s="9">
        <v>816.0</v>
      </c>
      <c r="B817" s="21" t="str">
        <f>IFERROR(__xludf.DUMMYFUNCTION("""COMPUTED_VALUE"""),"Don't Make Me Go")</f>
        <v>Don't Make Me Go</v>
      </c>
      <c r="C817" s="21" t="str">
        <f>IFERROR(__xludf.DUMMYFUNCTION("""COMPUTED_VALUE"""),"Hannah Marks")</f>
        <v>Hannah Marks</v>
      </c>
      <c r="D817" s="21" t="str">
        <f>IFERROR(__xludf.DUMMYFUNCTION("""COMPUTED_VALUE"""),"2022")</f>
        <v>2022</v>
      </c>
    </row>
    <row r="818" ht="15.75" customHeight="1">
      <c r="A818" s="9">
        <v>817.0</v>
      </c>
      <c r="B818" s="21" t="str">
        <f>IFERROR(__xludf.DUMMYFUNCTION("""COMPUTED_VALUE"""),"Emily")</f>
        <v>Emily</v>
      </c>
      <c r="C818" s="21" t="str">
        <f>IFERROR(__xludf.DUMMYFUNCTION("""COMPUTED_VALUE"""),"Frances O'Connor")</f>
        <v>Frances O'Connor</v>
      </c>
      <c r="D818" s="21" t="str">
        <f>IFERROR(__xludf.DUMMYFUNCTION("""COMPUTED_VALUE"""),"2022")</f>
        <v>2022</v>
      </c>
    </row>
    <row r="819" ht="15.75" customHeight="1">
      <c r="A819" s="9">
        <v>818.0</v>
      </c>
      <c r="B819" s="21" t="str">
        <f>IFERROR(__xludf.DUMMYFUNCTION("""COMPUTED_VALUE"""),"Fresh")</f>
        <v>Fresh</v>
      </c>
      <c r="C819" s="21" t="str">
        <f>IFERROR(__xludf.DUMMYFUNCTION("""COMPUTED_VALUE"""),"Mimi Cave")</f>
        <v>Mimi Cave</v>
      </c>
      <c r="D819" s="21" t="str">
        <f>IFERROR(__xludf.DUMMYFUNCTION("""COMPUTED_VALUE"""),"2022")</f>
        <v>2022</v>
      </c>
    </row>
    <row r="820" ht="15.75" customHeight="1">
      <c r="A820" s="9">
        <v>819.0</v>
      </c>
      <c r="B820" s="21" t="str">
        <f>IFERROR(__xludf.DUMMYFUNCTION("""COMPUTED_VALUE"""),"Girl Picture")</f>
        <v>Girl Picture</v>
      </c>
      <c r="C820" s="21" t="str">
        <f>IFERROR(__xludf.DUMMYFUNCTION("""COMPUTED_VALUE"""),"Alli Haapasalo")</f>
        <v>Alli Haapasalo</v>
      </c>
      <c r="D820" s="21" t="str">
        <f>IFERROR(__xludf.DUMMYFUNCTION("""COMPUTED_VALUE"""),"2022")</f>
        <v>2022</v>
      </c>
    </row>
    <row r="821" ht="15.75" customHeight="1">
      <c r="A821" s="9">
        <v>820.0</v>
      </c>
      <c r="B821" s="21" t="str">
        <f>IFERROR(__xludf.DUMMYFUNCTION("""COMPUTED_VALUE"""),"Glorious")</f>
        <v>Glorious</v>
      </c>
      <c r="C821" s="21" t="str">
        <f>IFERROR(__xludf.DUMMYFUNCTION("""COMPUTED_VALUE"""),"Rebekah McKendry")</f>
        <v>Rebekah McKendry</v>
      </c>
      <c r="D821" s="21" t="str">
        <f>IFERROR(__xludf.DUMMYFUNCTION("""COMPUTED_VALUE"""),"2022")</f>
        <v>2022</v>
      </c>
    </row>
    <row r="822" ht="15.75" customHeight="1">
      <c r="A822" s="9">
        <v>821.0</v>
      </c>
      <c r="B822" s="21" t="str">
        <f>IFERROR(__xludf.DUMMYFUNCTION("""COMPUTED_VALUE"""),"Good Luck to You, Leo Grande")</f>
        <v>Good Luck to You, Leo Grande</v>
      </c>
      <c r="C822" s="21" t="str">
        <f>IFERROR(__xludf.DUMMYFUNCTION("""COMPUTED_VALUE"""),"Sophie Hyde")</f>
        <v>Sophie Hyde</v>
      </c>
      <c r="D822" s="21" t="str">
        <f>IFERROR(__xludf.DUMMYFUNCTION("""COMPUTED_VALUE"""),"2022")</f>
        <v>2022</v>
      </c>
    </row>
    <row r="823" ht="15.75" customHeight="1">
      <c r="A823" s="9">
        <v>822.0</v>
      </c>
      <c r="B823" s="21" t="str">
        <f>IFERROR(__xludf.DUMMYFUNCTION("""COMPUTED_VALUE"""),"Hatching")</f>
        <v>Hatching</v>
      </c>
      <c r="C823" s="21" t="str">
        <f>IFERROR(__xludf.DUMMYFUNCTION("""COMPUTED_VALUE"""),"Hanna Bergholm")</f>
        <v>Hanna Bergholm</v>
      </c>
      <c r="D823" s="21" t="str">
        <f>IFERROR(__xludf.DUMMYFUNCTION("""COMPUTED_VALUE"""),"2022")</f>
        <v>2022</v>
      </c>
    </row>
    <row r="824" ht="15.75" customHeight="1">
      <c r="A824" s="9">
        <v>823.0</v>
      </c>
      <c r="B824" s="21" t="str">
        <f>IFERROR(__xludf.DUMMYFUNCTION("""COMPUTED_VALUE"""),"Just Something Nice")</f>
        <v>Just Something Nice</v>
      </c>
      <c r="C824" s="21" t="str">
        <f>IFERROR(__xludf.DUMMYFUNCTION("""COMPUTED_VALUE"""),"Karoline Herfurth")</f>
        <v>Karoline Herfurth</v>
      </c>
      <c r="D824" s="21" t="str">
        <f>IFERROR(__xludf.DUMMYFUNCTION("""COMPUTED_VALUE"""),"2022")</f>
        <v>2022</v>
      </c>
    </row>
    <row r="825" ht="15.75" customHeight="1">
      <c r="A825" s="9">
        <v>824.0</v>
      </c>
      <c r="B825" s="21" t="str">
        <f>IFERROR(__xludf.DUMMYFUNCTION("""COMPUTED_VALUE"""),"Mack &amp; Rita")</f>
        <v>Mack &amp; Rita</v>
      </c>
      <c r="C825" s="21" t="str">
        <f>IFERROR(__xludf.DUMMYFUNCTION("""COMPUTED_VALUE"""),"Katie Aselton")</f>
        <v>Katie Aselton</v>
      </c>
      <c r="D825" s="21" t="str">
        <f>IFERROR(__xludf.DUMMYFUNCTION("""COMPUTED_VALUE"""),"2022")</f>
        <v>2022</v>
      </c>
    </row>
    <row r="826" ht="15.75" customHeight="1">
      <c r="A826" s="9">
        <v>825.0</v>
      </c>
      <c r="B826" s="21" t="str">
        <f>IFERROR(__xludf.DUMMYFUNCTION("""COMPUTED_VALUE"""),"Montreal Girls")</f>
        <v>Montreal Girls</v>
      </c>
      <c r="C826" s="21" t="str">
        <f>IFERROR(__xludf.DUMMYFUNCTION("""COMPUTED_VALUE"""),"Patricia Chica")</f>
        <v>Patricia Chica</v>
      </c>
      <c r="D826" s="21" t="str">
        <f>IFERROR(__xludf.DUMMYFUNCTION("""COMPUTED_VALUE"""),"2022")</f>
        <v>2022</v>
      </c>
    </row>
    <row r="827" ht="15.75" customHeight="1">
      <c r="A827" s="9">
        <v>826.0</v>
      </c>
      <c r="B827" s="21" t="str">
        <f>IFERROR(__xludf.DUMMYFUNCTION("""COMPUTED_VALUE"""),"Next Exit")</f>
        <v>Next Exit</v>
      </c>
      <c r="C827" s="21" t="str">
        <f>IFERROR(__xludf.DUMMYFUNCTION("""COMPUTED_VALUE"""),"Mali Elfman")</f>
        <v>Mali Elfman</v>
      </c>
      <c r="D827" s="21" t="str">
        <f>IFERROR(__xludf.DUMMYFUNCTION("""COMPUTED_VALUE"""),"2022")</f>
        <v>2022</v>
      </c>
    </row>
    <row r="828" ht="15.75" customHeight="1">
      <c r="A828" s="9">
        <v>827.0</v>
      </c>
      <c r="B828" s="21" t="str">
        <f>IFERROR(__xludf.DUMMYFUNCTION("""COMPUTED_VALUE"""),"North of Normal")</f>
        <v>North of Normal</v>
      </c>
      <c r="C828" s="21" t="str">
        <f>IFERROR(__xludf.DUMMYFUNCTION("""COMPUTED_VALUE"""),"Carly Stone")</f>
        <v>Carly Stone</v>
      </c>
      <c r="D828" s="21" t="str">
        <f>IFERROR(__xludf.DUMMYFUNCTION("""COMPUTED_VALUE"""),"2022")</f>
        <v>2022</v>
      </c>
    </row>
    <row r="829" ht="15.75" customHeight="1">
      <c r="A829" s="9">
        <v>828.0</v>
      </c>
      <c r="B829" s="21" t="str">
        <f>IFERROR(__xludf.DUMMYFUNCTION("""COMPUTED_VALUE"""),"Piggy")</f>
        <v>Piggy</v>
      </c>
      <c r="C829" s="21" t="str">
        <f>IFERROR(__xludf.DUMMYFUNCTION("""COMPUTED_VALUE"""),"Carlota Pereda")</f>
        <v>Carlota Pereda</v>
      </c>
      <c r="D829" s="21" t="str">
        <f>IFERROR(__xludf.DUMMYFUNCTION("""COMPUTED_VALUE"""),"2022")</f>
        <v>2022</v>
      </c>
    </row>
    <row r="830" ht="15.75" customHeight="1">
      <c r="A830" s="9">
        <v>829.0</v>
      </c>
      <c r="B830" s="21" t="str">
        <f>IFERROR(__xludf.DUMMYFUNCTION("""COMPUTED_VALUE"""),"Please Baby Please")</f>
        <v>Please Baby Please</v>
      </c>
      <c r="C830" s="21" t="str">
        <f>IFERROR(__xludf.DUMMYFUNCTION("""COMPUTED_VALUE"""),"Amanda Kramer")</f>
        <v>Amanda Kramer</v>
      </c>
      <c r="D830" s="21" t="str">
        <f>IFERROR(__xludf.DUMMYFUNCTION("""COMPUTED_VALUE"""),"2022")</f>
        <v>2022</v>
      </c>
    </row>
    <row r="831" ht="15.75" customHeight="1">
      <c r="A831" s="9">
        <v>830.0</v>
      </c>
      <c r="B831" s="21" t="str">
        <f>IFERROR(__xludf.DUMMYFUNCTION("""COMPUTED_VALUE"""),"She Said")</f>
        <v>She Said</v>
      </c>
      <c r="C831" s="21" t="str">
        <f>IFERROR(__xludf.DUMMYFUNCTION("""COMPUTED_VALUE"""),"Maria Schrader")</f>
        <v>Maria Schrader</v>
      </c>
      <c r="D831" s="21" t="str">
        <f>IFERROR(__xludf.DUMMYFUNCTION("""COMPUTED_VALUE"""),"2022")</f>
        <v>2022</v>
      </c>
    </row>
    <row r="832" ht="15.75" customHeight="1">
      <c r="A832" s="9">
        <v>831.0</v>
      </c>
      <c r="B832" s="21" t="str">
        <f>IFERROR(__xludf.DUMMYFUNCTION("""COMPUTED_VALUE"""),"Showing Up")</f>
        <v>Showing Up</v>
      </c>
      <c r="C832" s="21" t="str">
        <f>IFERROR(__xludf.DUMMYFUNCTION("""COMPUTED_VALUE"""),"Kelly Reichardt")</f>
        <v>Kelly Reichardt</v>
      </c>
      <c r="D832" s="21" t="str">
        <f>IFERROR(__xludf.DUMMYFUNCTION("""COMPUTED_VALUE"""),"2022")</f>
        <v>2022</v>
      </c>
    </row>
    <row r="833" ht="15.75" customHeight="1">
      <c r="A833" s="9">
        <v>832.0</v>
      </c>
      <c r="B833" s="21" t="str">
        <f>IFERROR(__xludf.DUMMYFUNCTION("""COMPUTED_VALUE"""),"Sissy")</f>
        <v>Sissy</v>
      </c>
      <c r="C833" s="21" t="str">
        <f>IFERROR(__xludf.DUMMYFUNCTION("""COMPUTED_VALUE"""),"Hannah Barlow, co-directed with Kane Senes")</f>
        <v>Hannah Barlow, co-directed with Kane Senes</v>
      </c>
      <c r="D833" s="21" t="str">
        <f>IFERROR(__xludf.DUMMYFUNCTION("""COMPUTED_VALUE"""),"2022")</f>
        <v>2022</v>
      </c>
    </row>
    <row r="834" ht="15.75" customHeight="1">
      <c r="A834" s="9">
        <v>833.0</v>
      </c>
      <c r="B834" s="21" t="str">
        <f>IFERROR(__xludf.DUMMYFUNCTION("""COMPUTED_VALUE"""),"The Sky Is Everywhere")</f>
        <v>The Sky Is Everywhere</v>
      </c>
      <c r="C834" s="21" t="str">
        <f>IFERROR(__xludf.DUMMYFUNCTION("""COMPUTED_VALUE"""),"Josephine Decker")</f>
        <v>Josephine Decker</v>
      </c>
      <c r="D834" s="21" t="str">
        <f>IFERROR(__xludf.DUMMYFUNCTION("""COMPUTED_VALUE"""),"2022")</f>
        <v>2022</v>
      </c>
    </row>
    <row r="835" ht="15.75" customHeight="1">
      <c r="A835" s="9">
        <v>834.0</v>
      </c>
      <c r="B835" s="21" t="str">
        <f>IFERROR(__xludf.DUMMYFUNCTION("""COMPUTED_VALUE"""),"Stars at Noon")</f>
        <v>Stars at Noon</v>
      </c>
      <c r="C835" s="21" t="str">
        <f>IFERROR(__xludf.DUMMYFUNCTION("""COMPUTED_VALUE"""),"Claire Denis")</f>
        <v>Claire Denis</v>
      </c>
      <c r="D835" s="21" t="str">
        <f>IFERROR(__xludf.DUMMYFUNCTION("""COMPUTED_VALUE"""),"2022")</f>
        <v>2022</v>
      </c>
    </row>
    <row r="836" ht="15.75" customHeight="1">
      <c r="A836" s="9">
        <v>835.0</v>
      </c>
      <c r="B836" s="21" t="str">
        <f>IFERROR(__xludf.DUMMYFUNCTION("""COMPUTED_VALUE"""),"The Swearing Jar")</f>
        <v>The Swearing Jar</v>
      </c>
      <c r="C836" s="21" t="str">
        <f>IFERROR(__xludf.DUMMYFUNCTION("""COMPUTED_VALUE"""),"Lindsay MacKay")</f>
        <v>Lindsay MacKay</v>
      </c>
      <c r="D836" s="21" t="str">
        <f>IFERROR(__xludf.DUMMYFUNCTION("""COMPUTED_VALUE"""),"2022")</f>
        <v>2022</v>
      </c>
    </row>
    <row r="837" ht="15.75" customHeight="1">
      <c r="A837" s="9">
        <v>836.0</v>
      </c>
      <c r="B837" s="21" t="str">
        <f>IFERROR(__xludf.DUMMYFUNCTION("""COMPUTED_VALUE"""),"Till")</f>
        <v>Till</v>
      </c>
      <c r="C837" s="21" t="str">
        <f>IFERROR(__xludf.DUMMYFUNCTION("""COMPUTED_VALUE"""),"Chinonye Chukwu")</f>
        <v>Chinonye Chukwu</v>
      </c>
      <c r="D837" s="21" t="str">
        <f>IFERROR(__xludf.DUMMYFUNCTION("""COMPUTED_VALUE"""),"2022")</f>
        <v>2022</v>
      </c>
    </row>
    <row r="838" ht="15.75" customHeight="1">
      <c r="A838" s="9">
        <v>837.0</v>
      </c>
      <c r="B838" s="21" t="str">
        <f>IFERROR(__xludf.DUMMYFUNCTION("""COMPUTED_VALUE"""),"Torn Hearts")</f>
        <v>Torn Hearts</v>
      </c>
      <c r="C838" s="21" t="str">
        <f>IFERROR(__xludf.DUMMYFUNCTION("""COMPUTED_VALUE"""),"Brea Grant")</f>
        <v>Brea Grant</v>
      </c>
      <c r="D838" s="21" t="str">
        <f>IFERROR(__xludf.DUMMYFUNCTION("""COMPUTED_VALUE"""),"2022")</f>
        <v>2022</v>
      </c>
    </row>
    <row r="839" ht="15.75" customHeight="1">
      <c r="A839" s="9">
        <v>838.0</v>
      </c>
      <c r="B839" s="21" t="str">
        <f>IFERROR(__xludf.DUMMYFUNCTION("""COMPUTED_VALUE"""),"Umma")</f>
        <v>Umma</v>
      </c>
      <c r="C839" s="21" t="str">
        <f>IFERROR(__xludf.DUMMYFUNCTION("""COMPUTED_VALUE"""),"Iris K. Shim")</f>
        <v>Iris K. Shim</v>
      </c>
      <c r="D839" s="21" t="str">
        <f>IFERROR(__xludf.DUMMYFUNCTION("""COMPUTED_VALUE"""),"2022")</f>
        <v>2022</v>
      </c>
    </row>
    <row r="840" ht="15.75" customHeight="1">
      <c r="A840" s="9">
        <v>839.0</v>
      </c>
      <c r="B840" s="21" t="str">
        <f>IFERROR(__xludf.DUMMYFUNCTION("""COMPUTED_VALUE"""),"Watcher")</f>
        <v>Watcher</v>
      </c>
      <c r="C840" s="21" t="str">
        <f>IFERROR(__xludf.DUMMYFUNCTION("""COMPUTED_VALUE"""),"Chloe Okuno")</f>
        <v>Chloe Okuno</v>
      </c>
      <c r="D840" s="21" t="str">
        <f>IFERROR(__xludf.DUMMYFUNCTION("""COMPUTED_VALUE"""),"2022")</f>
        <v>2022</v>
      </c>
    </row>
    <row r="841" ht="15.75" customHeight="1">
      <c r="A841" s="9">
        <v>840.0</v>
      </c>
      <c r="B841" s="21" t="str">
        <f>IFERROR(__xludf.DUMMYFUNCTION("""COMPUTED_VALUE"""),"When Time Got Louder")</f>
        <v>When Time Got Louder</v>
      </c>
      <c r="C841" s="21" t="str">
        <f>IFERROR(__xludf.DUMMYFUNCTION("""COMPUTED_VALUE"""),"Connie Cocchia")</f>
        <v>Connie Cocchia</v>
      </c>
      <c r="D841" s="21" t="str">
        <f>IFERROR(__xludf.DUMMYFUNCTION("""COMPUTED_VALUE"""),"2022")</f>
        <v>2022</v>
      </c>
    </row>
    <row r="842" ht="15.75" customHeight="1">
      <c r="A842" s="9">
        <v>841.0</v>
      </c>
      <c r="B842" s="21" t="str">
        <f>IFERROR(__xludf.DUMMYFUNCTION("""COMPUTED_VALUE"""),"Where the Crawdads Sing")</f>
        <v>Where the Crawdads Sing</v>
      </c>
      <c r="C842" s="21" t="str">
        <f>IFERROR(__xludf.DUMMYFUNCTION("""COMPUTED_VALUE"""),"Olivia Newman")</f>
        <v>Olivia Newman</v>
      </c>
      <c r="D842" s="21" t="str">
        <f>IFERROR(__xludf.DUMMYFUNCTION("""COMPUTED_VALUE"""),"2022")</f>
        <v>2022</v>
      </c>
    </row>
    <row r="843" ht="15.75" customHeight="1">
      <c r="A843" s="9">
        <v>842.0</v>
      </c>
      <c r="B843" s="21" t="str">
        <f>IFERROR(__xludf.DUMMYFUNCTION("""COMPUTED_VALUE"""),"Women Talking")</f>
        <v>Women Talking</v>
      </c>
      <c r="C843" s="21" t="str">
        <f>IFERROR(__xludf.DUMMYFUNCTION("""COMPUTED_VALUE"""),"Sarah Polley")</f>
        <v>Sarah Polley</v>
      </c>
      <c r="D843" s="21" t="str">
        <f>IFERROR(__xludf.DUMMYFUNCTION("""COMPUTED_VALUE"""),"2022")</f>
        <v>2022</v>
      </c>
    </row>
    <row r="844" ht="15.75" customHeight="1">
      <c r="A844" s="9">
        <v>843.0</v>
      </c>
      <c r="B844" s="21" t="str">
        <f>IFERROR(__xludf.DUMMYFUNCTION("""COMPUTED_VALUE"""),"Wunderschön")</f>
        <v>Wunderschön</v>
      </c>
      <c r="C844" s="21" t="str">
        <f>IFERROR(__xludf.DUMMYFUNCTION("""COMPUTED_VALUE"""),"Karoline Herfurth")</f>
        <v>Karoline Herfurth</v>
      </c>
      <c r="D844" s="21" t="str">
        <f>IFERROR(__xludf.DUMMYFUNCTION("""COMPUTED_VALUE"""),"2022")</f>
        <v>2022</v>
      </c>
    </row>
    <row r="845" ht="15.75" customHeight="1">
      <c r="A845" s="9">
        <v>844.0</v>
      </c>
      <c r="B845" s="21" t="str">
        <f>IFERROR(__xludf.DUMMYFUNCTION("""COMPUTED_VALUE"""),"1984")</f>
        <v>1984</v>
      </c>
      <c r="C845" s="21" t="str">
        <f>IFERROR(__xludf.DUMMYFUNCTION("""COMPUTED_VALUE"""),"Diana Ringo")</f>
        <v>Diana Ringo</v>
      </c>
      <c r="D845" s="21" t="str">
        <f>IFERROR(__xludf.DUMMYFUNCTION("""COMPUTED_VALUE"""),"2023")</f>
        <v>2023</v>
      </c>
    </row>
    <row r="846" ht="15.75" customHeight="1">
      <c r="A846" s="9">
        <v>845.0</v>
      </c>
      <c r="B846" s="21" t="str">
        <f>IFERROR(__xludf.DUMMYFUNCTION("""COMPUTED_VALUE"""),"A Thousand and One")</f>
        <v>A Thousand and One</v>
      </c>
      <c r="C846" s="21" t="str">
        <f>IFERROR(__xludf.DUMMYFUNCTION("""COMPUTED_VALUE"""),"A.V. Rockwell")</f>
        <v>A.V. Rockwell</v>
      </c>
      <c r="D846" s="21" t="str">
        <f>IFERROR(__xludf.DUMMYFUNCTION("""COMPUTED_VALUE"""),"2023")</f>
        <v>2023</v>
      </c>
    </row>
    <row r="847" ht="15.75" customHeight="1">
      <c r="A847" s="9">
        <v>846.0</v>
      </c>
      <c r="B847" s="21" t="str">
        <f>IFERROR(__xludf.DUMMYFUNCTION("""COMPUTED_VALUE"""),"About My Father")</f>
        <v>About My Father</v>
      </c>
      <c r="C847" s="21" t="str">
        <f>IFERROR(__xludf.DUMMYFUNCTION("""COMPUTED_VALUE"""),"Laura Terruso")</f>
        <v>Laura Terruso</v>
      </c>
      <c r="D847" s="21" t="str">
        <f>IFERROR(__xludf.DUMMYFUNCTION("""COMPUTED_VALUE"""),"2023")</f>
        <v>2023</v>
      </c>
    </row>
    <row r="848" ht="15.75" customHeight="1">
      <c r="A848" s="9">
        <v>847.0</v>
      </c>
      <c r="B848" s="21" t="str">
        <f>IFERROR(__xludf.DUMMYFUNCTION("""COMPUTED_VALUE"""),"All Dirt Roads Taste of Salt")</f>
        <v>All Dirt Roads Taste of Salt</v>
      </c>
      <c r="C848" s="21" t="str">
        <f>IFERROR(__xludf.DUMMYFUNCTION("""COMPUTED_VALUE"""),"Raven Jackson")</f>
        <v>Raven Jackson</v>
      </c>
      <c r="D848" s="21" t="str">
        <f>IFERROR(__xludf.DUMMYFUNCTION("""COMPUTED_VALUE"""),"2023")</f>
        <v>2023</v>
      </c>
    </row>
    <row r="849" ht="15.75" customHeight="1">
      <c r="A849" s="9">
        <v>848.0</v>
      </c>
      <c r="B849" s="21" t="str">
        <f>IFERROR(__xludf.DUMMYFUNCTION("""COMPUTED_VALUE"""),"Are You There God? It's Me, Margaret.")</f>
        <v>Are You There God? It's Me, Margaret.</v>
      </c>
      <c r="C849" s="21" t="str">
        <f>IFERROR(__xludf.DUMMYFUNCTION("""COMPUTED_VALUE"""),"Kelly Fremon Craig")</f>
        <v>Kelly Fremon Craig</v>
      </c>
      <c r="D849" s="21" t="str">
        <f>IFERROR(__xludf.DUMMYFUNCTION("""COMPUTED_VALUE"""),"2023")</f>
        <v>2023</v>
      </c>
    </row>
    <row r="850" ht="15.75" customHeight="1">
      <c r="A850" s="9">
        <v>849.0</v>
      </c>
      <c r="B850" s="21" t="str">
        <f>IFERROR(__xludf.DUMMYFUNCTION("""COMPUTED_VALUE"""),"Barbie")</f>
        <v>Barbie</v>
      </c>
      <c r="C850" s="21" t="str">
        <f>IFERROR(__xludf.DUMMYFUNCTION("""COMPUTED_VALUE"""),"Greta Gerwig")</f>
        <v>Greta Gerwig</v>
      </c>
      <c r="D850" s="21" t="str">
        <f>IFERROR(__xludf.DUMMYFUNCTION("""COMPUTED_VALUE"""),"2023")</f>
        <v>2023</v>
      </c>
    </row>
    <row r="851" ht="15.75" customHeight="1">
      <c r="A851" s="9">
        <v>850.0</v>
      </c>
      <c r="B851" s="21" t="str">
        <f>IFERROR(__xludf.DUMMYFUNCTION("""COMPUTED_VALUE"""),"Birth/Rebirth")</f>
        <v>Birth/Rebirth</v>
      </c>
      <c r="C851" s="21" t="str">
        <f>IFERROR(__xludf.DUMMYFUNCTION("""COMPUTED_VALUE"""),"Laura Moss")</f>
        <v>Laura Moss</v>
      </c>
      <c r="D851" s="21" t="str">
        <f>IFERROR(__xludf.DUMMYFUNCTION("""COMPUTED_VALUE"""),"2023")</f>
        <v>2023</v>
      </c>
    </row>
    <row r="852" ht="15.75" customHeight="1">
      <c r="A852" s="9">
        <v>851.0</v>
      </c>
      <c r="B852" s="21" t="str">
        <f>IFERROR(__xludf.DUMMYFUNCTION("""COMPUTED_VALUE"""),"Bottoms")</f>
        <v>Bottoms</v>
      </c>
      <c r="C852" s="21" t="str">
        <f>IFERROR(__xludf.DUMMYFUNCTION("""COMPUTED_VALUE"""),"Emma Seligman")</f>
        <v>Emma Seligman</v>
      </c>
      <c r="D852" s="21" t="str">
        <f>IFERROR(__xludf.DUMMYFUNCTION("""COMPUTED_VALUE"""),"2023")</f>
        <v>2023</v>
      </c>
    </row>
    <row r="853" ht="15.75" customHeight="1">
      <c r="A853" s="9">
        <v>852.0</v>
      </c>
      <c r="B853" s="21" t="str">
        <f>IFERROR(__xludf.DUMMYFUNCTION("""COMPUTED_VALUE"""),"Cocaine Bear")</f>
        <v>Cocaine Bear</v>
      </c>
      <c r="C853" s="21" t="str">
        <f>IFERROR(__xludf.DUMMYFUNCTION("""COMPUTED_VALUE"""),"Elizabeth Banks")</f>
        <v>Elizabeth Banks</v>
      </c>
      <c r="D853" s="21" t="str">
        <f>IFERROR(__xludf.DUMMYFUNCTION("""COMPUTED_VALUE"""),"2023")</f>
        <v>2023</v>
      </c>
    </row>
    <row r="854" ht="15.75" customHeight="1">
      <c r="A854" s="9">
        <v>853.0</v>
      </c>
      <c r="B854" s="21" t="str">
        <f>IFERROR(__xludf.DUMMYFUNCTION("""COMPUTED_VALUE"""),"Days of Happiness")</f>
        <v>Days of Happiness</v>
      </c>
      <c r="C854" s="21" t="str">
        <f>IFERROR(__xludf.DUMMYFUNCTION("""COMPUTED_VALUE"""),"Chloé Robichaud")</f>
        <v>Chloé Robichaud</v>
      </c>
      <c r="D854" s="21" t="str">
        <f>IFERROR(__xludf.DUMMYFUNCTION("""COMPUTED_VALUE"""),"2023")</f>
        <v>2023</v>
      </c>
    </row>
    <row r="855" ht="15.75" customHeight="1">
      <c r="A855" s="9">
        <v>854.0</v>
      </c>
      <c r="B855" s="21" t="str">
        <f>IFERROR(__xludf.DUMMYFUNCTION("""COMPUTED_VALUE"""),"Desperation Road")</f>
        <v>Desperation Road</v>
      </c>
      <c r="C855" s="21" t="str">
        <f>IFERROR(__xludf.DUMMYFUNCTION("""COMPUTED_VALUE"""),"Nadine Crocker")</f>
        <v>Nadine Crocker</v>
      </c>
      <c r="D855" s="21" t="str">
        <f>IFERROR(__xludf.DUMMYFUNCTION("""COMPUTED_VALUE"""),"2023")</f>
        <v>2023</v>
      </c>
    </row>
    <row r="856" ht="15.75" customHeight="1">
      <c r="A856" s="9">
        <v>855.0</v>
      </c>
      <c r="B856" s="21" t="str">
        <f>IFERROR(__xludf.DUMMYFUNCTION("""COMPUTED_VALUE"""),"The End We Start From")</f>
        <v>The End We Start From</v>
      </c>
      <c r="C856" s="21" t="str">
        <f>IFERROR(__xludf.DUMMYFUNCTION("""COMPUTED_VALUE"""),"Mahalia Belo")</f>
        <v>Mahalia Belo</v>
      </c>
      <c r="D856" s="21" t="str">
        <f>IFERROR(__xludf.DUMMYFUNCTION("""COMPUTED_VALUE"""),"2023")</f>
        <v>2023</v>
      </c>
    </row>
    <row r="857" ht="15.75" customHeight="1">
      <c r="A857" s="9">
        <v>856.0</v>
      </c>
      <c r="B857" s="21" t="str">
        <f>IFERROR(__xludf.DUMMYFUNCTION("""COMPUTED_VALUE"""),"Family Time")</f>
        <v>Family Time</v>
      </c>
      <c r="C857" s="21" t="str">
        <f>IFERROR(__xludf.DUMMYFUNCTION("""COMPUTED_VALUE"""),"Tia Kouvo")</f>
        <v>Tia Kouvo</v>
      </c>
      <c r="D857" s="21" t="str">
        <f>IFERROR(__xludf.DUMMYFUNCTION("""COMPUTED_VALUE"""),"2023")</f>
        <v>2023</v>
      </c>
    </row>
    <row r="858" ht="15.75" customHeight="1">
      <c r="A858" s="9">
        <v>857.0</v>
      </c>
      <c r="B858" s="21" t="str">
        <f>IFERROR(__xludf.DUMMYFUNCTION("""COMPUTED_VALUE"""),"Fair Play")</f>
        <v>Fair Play</v>
      </c>
      <c r="C858" s="21" t="str">
        <f>IFERROR(__xludf.DUMMYFUNCTION("""COMPUTED_VALUE"""),"Chloe Domont")</f>
        <v>Chloe Domont</v>
      </c>
      <c r="D858" s="21" t="str">
        <f>IFERROR(__xludf.DUMMYFUNCTION("""COMPUTED_VALUE"""),"2023")</f>
        <v>2023</v>
      </c>
    </row>
    <row r="859" ht="15.75" customHeight="1">
      <c r="A859" s="9">
        <v>858.0</v>
      </c>
      <c r="B859" s="21" t="str">
        <f>IFERROR(__xludf.DUMMYFUNCTION("""COMPUTED_VALUE"""),"Finality of Dusk")</f>
        <v>Finality of Dusk</v>
      </c>
      <c r="C859" s="21" t="str">
        <f>IFERROR(__xludf.DUMMYFUNCTION("""COMPUTED_VALUE"""),"Madison Thomas")</f>
        <v>Madison Thomas</v>
      </c>
      <c r="D859" s="21" t="str">
        <f>IFERROR(__xludf.DUMMYFUNCTION("""COMPUTED_VALUE"""),"2023")</f>
        <v>2023</v>
      </c>
    </row>
    <row r="860" ht="15.75" customHeight="1">
      <c r="A860" s="9">
        <v>859.0</v>
      </c>
      <c r="B860" s="21" t="str">
        <f>IFERROR(__xludf.DUMMYFUNCTION("""COMPUTED_VALUE"""),"Five Nights at Freddy's")</f>
        <v>Five Nights at Freddy's</v>
      </c>
      <c r="C860" s="21" t="str">
        <f>IFERROR(__xludf.DUMMYFUNCTION("""COMPUTED_VALUE"""),"Emma Tammi")</f>
        <v>Emma Tammi</v>
      </c>
      <c r="D860" s="21" t="str">
        <f>IFERROR(__xludf.DUMMYFUNCTION("""COMPUTED_VALUE"""),"2023")</f>
        <v>2023</v>
      </c>
    </row>
    <row r="861" ht="15.75" customHeight="1">
      <c r="A861" s="9">
        <v>860.0</v>
      </c>
      <c r="B861" s="21" t="str">
        <f>IFERROR(__xludf.DUMMYFUNCTION("""COMPUTED_VALUE"""),"Green Border (Zielona Granica)")</f>
        <v>Green Border (Zielona Granica)</v>
      </c>
      <c r="C861" s="21" t="str">
        <f>IFERROR(__xludf.DUMMYFUNCTION("""COMPUTED_VALUE"""),"Agnieszka Holland")</f>
        <v>Agnieszka Holland</v>
      </c>
      <c r="D861" s="21" t="str">
        <f>IFERROR(__xludf.DUMMYFUNCTION("""COMPUTED_VALUE"""),"2023")</f>
        <v>2023</v>
      </c>
    </row>
    <row r="862" ht="15.75" customHeight="1">
      <c r="A862" s="9">
        <v>861.0</v>
      </c>
      <c r="B862" s="21" t="str">
        <f>IFERROR(__xludf.DUMMYFUNCTION("""COMPUTED_VALUE"""),"Homecoming")</f>
        <v>Homecoming</v>
      </c>
      <c r="C862" s="21" t="str">
        <f>IFERROR(__xludf.DUMMYFUNCTION("""COMPUTED_VALUE"""),"Catherine Corsini")</f>
        <v>Catherine Corsini</v>
      </c>
      <c r="D862" s="21" t="str">
        <f>IFERROR(__xludf.DUMMYFUNCTION("""COMPUTED_VALUE"""),"2023")</f>
        <v>2023</v>
      </c>
    </row>
    <row r="863" ht="15.75" customHeight="1">
      <c r="A863" s="9">
        <v>862.0</v>
      </c>
      <c r="B863" s="21" t="str">
        <f>IFERROR(__xludf.DUMMYFUNCTION("""COMPUTED_VALUE"""),"How to Have Sex")</f>
        <v>How to Have Sex</v>
      </c>
      <c r="C863" s="21" t="str">
        <f>IFERROR(__xludf.DUMMYFUNCTION("""COMPUTED_VALUE"""),"Molly Manning Walker")</f>
        <v>Molly Manning Walker</v>
      </c>
      <c r="D863" s="21" t="str">
        <f>IFERROR(__xludf.DUMMYFUNCTION("""COMPUTED_VALUE"""),"2023")</f>
        <v>2023</v>
      </c>
    </row>
    <row r="864" ht="15.75" customHeight="1">
      <c r="A864" s="9">
        <v>863.0</v>
      </c>
      <c r="B864" s="21" t="str">
        <f>IFERROR(__xludf.DUMMYFUNCTION("""COMPUTED_VALUE"""),"Howdy, Neighbor!")</f>
        <v>Howdy, Neighbor!</v>
      </c>
      <c r="C864" s="21" t="str">
        <f>IFERROR(__xludf.DUMMYFUNCTION("""COMPUTED_VALUE"""),"Allisyn Snyder")</f>
        <v>Allisyn Snyder</v>
      </c>
      <c r="D864" s="21" t="str">
        <f>IFERROR(__xludf.DUMMYFUNCTION("""COMPUTED_VALUE"""),"2023")</f>
        <v>2023</v>
      </c>
    </row>
    <row r="865" ht="15.75" customHeight="1">
      <c r="A865" s="9">
        <v>864.0</v>
      </c>
      <c r="B865" s="21" t="str">
        <f>IFERROR(__xludf.DUMMYFUNCTION("""COMPUTED_VALUE"""),"Jeanne du Barry")</f>
        <v>Jeanne du Barry</v>
      </c>
      <c r="C865" s="21" t="str">
        <f>IFERROR(__xludf.DUMMYFUNCTION("""COMPUTED_VALUE"""),"Maïwenn")</f>
        <v>Maïwenn</v>
      </c>
      <c r="D865" s="21" t="str">
        <f>IFERROR(__xludf.DUMMYFUNCTION("""COMPUTED_VALUE"""),"2023")</f>
        <v>2023</v>
      </c>
    </row>
    <row r="866" ht="15.75" customHeight="1">
      <c r="A866" s="9">
        <v>865.0</v>
      </c>
      <c r="B866" s="21" t="str">
        <f>IFERROR(__xludf.DUMMYFUNCTION("""COMPUTED_VALUE"""),"Joy Ride")</f>
        <v>Joy Ride</v>
      </c>
      <c r="C866" s="21" t="str">
        <f>IFERROR(__xludf.DUMMYFUNCTION("""COMPUTED_VALUE"""),"Adele Lim")</f>
        <v>Adele Lim</v>
      </c>
      <c r="D866" s="21" t="str">
        <f>IFERROR(__xludf.DUMMYFUNCTION("""COMPUTED_VALUE"""),"2023")</f>
        <v>2023</v>
      </c>
    </row>
    <row r="867" ht="15.75" customHeight="1">
      <c r="A867" s="9">
        <v>866.0</v>
      </c>
      <c r="B867" s="21" t="str">
        <f>IFERROR(__xludf.DUMMYFUNCTION("""COMPUTED_VALUE"""),"La chimera")</f>
        <v>La chimera</v>
      </c>
      <c r="C867" s="21" t="str">
        <f>IFERROR(__xludf.DUMMYFUNCTION("""COMPUTED_VALUE"""),"Alice Rohrwacher")</f>
        <v>Alice Rohrwacher</v>
      </c>
      <c r="D867" s="21" t="str">
        <f>IFERROR(__xludf.DUMMYFUNCTION("""COMPUTED_VALUE"""),"2023")</f>
        <v>2023</v>
      </c>
    </row>
    <row r="868" ht="15.75" customHeight="1">
      <c r="A868" s="9">
        <v>867.0</v>
      </c>
      <c r="B868" s="21" t="str">
        <f>IFERROR(__xludf.DUMMYFUNCTION("""COMPUTED_VALUE"""),"Lee")</f>
        <v>Lee</v>
      </c>
      <c r="C868" s="21" t="str">
        <f>IFERROR(__xludf.DUMMYFUNCTION("""COMPUTED_VALUE"""),"Ellen Kuras")</f>
        <v>Ellen Kuras</v>
      </c>
      <c r="D868" s="21" t="str">
        <f>IFERROR(__xludf.DUMMYFUNCTION("""COMPUTED_VALUE"""),"2023")</f>
        <v>2023</v>
      </c>
    </row>
    <row r="869" ht="15.75" customHeight="1">
      <c r="A869" s="9">
        <v>868.0</v>
      </c>
      <c r="B869" s="21" t="str">
        <f>IFERROR(__xludf.DUMMYFUNCTION("""COMPUTED_VALUE"""),"Lovely, Dark, and Deep")</f>
        <v>Lovely, Dark, and Deep</v>
      </c>
      <c r="C869" s="21" t="str">
        <f>IFERROR(__xludf.DUMMYFUNCTION("""COMPUTED_VALUE"""),"Teresa Sutherland")</f>
        <v>Teresa Sutherland</v>
      </c>
      <c r="D869" s="21" t="str">
        <f>IFERROR(__xludf.DUMMYFUNCTION("""COMPUTED_VALUE"""),"2023")</f>
        <v>2023</v>
      </c>
    </row>
    <row r="870" ht="15.75" customHeight="1">
      <c r="A870" s="9">
        <v>869.0</v>
      </c>
      <c r="B870" s="21" t="str">
        <f>IFERROR(__xludf.DUMMYFUNCTION("""COMPUTED_VALUE"""),"Mafia Mamma")</f>
        <v>Mafia Mamma</v>
      </c>
      <c r="C870" s="21" t="str">
        <f>IFERROR(__xludf.DUMMYFUNCTION("""COMPUTED_VALUE"""),"Catherine Hardwicke")</f>
        <v>Catherine Hardwicke</v>
      </c>
      <c r="D870" s="21" t="str">
        <f>IFERROR(__xludf.DUMMYFUNCTION("""COMPUTED_VALUE"""),"2023")</f>
        <v>2023</v>
      </c>
    </row>
    <row r="871" ht="15.75" customHeight="1">
      <c r="A871" s="9">
        <v>870.0</v>
      </c>
      <c r="B871" s="21" t="str">
        <f>IFERROR(__xludf.DUMMYFUNCTION("""COMPUTED_VALUE"""),"The Marvels")</f>
        <v>The Marvels</v>
      </c>
      <c r="C871" s="21" t="str">
        <f>IFERROR(__xludf.DUMMYFUNCTION("""COMPUTED_VALUE"""),"Nia DaCosta")</f>
        <v>Nia DaCosta</v>
      </c>
      <c r="D871" s="21" t="str">
        <f>IFERROR(__xludf.DUMMYFUNCTION("""COMPUTED_VALUE"""),"2023")</f>
        <v>2023</v>
      </c>
    </row>
    <row r="872" ht="15.75" customHeight="1">
      <c r="A872" s="9">
        <v>871.0</v>
      </c>
      <c r="B872" s="21" t="str">
        <f>IFERROR(__xludf.DUMMYFUNCTION("""COMPUTED_VALUE"""),"The Order of Time")</f>
        <v>The Order of Time</v>
      </c>
      <c r="C872" s="21" t="str">
        <f>IFERROR(__xludf.DUMMYFUNCTION("""COMPUTED_VALUE"""),"Liliana Cavani")</f>
        <v>Liliana Cavani</v>
      </c>
      <c r="D872" s="21" t="str">
        <f>IFERROR(__xludf.DUMMYFUNCTION("""COMPUTED_VALUE"""),"2023")</f>
        <v>2023</v>
      </c>
    </row>
    <row r="873" ht="15.75" customHeight="1">
      <c r="A873" s="9">
        <v>872.0</v>
      </c>
      <c r="B873" s="21" t="str">
        <f>IFERROR(__xludf.DUMMYFUNCTION("""COMPUTED_VALUE"""),"Past Lives")</f>
        <v>Past Lives</v>
      </c>
      <c r="C873" s="21" t="str">
        <f>IFERROR(__xludf.DUMMYFUNCTION("""COMPUTED_VALUE"""),"Celine Song")</f>
        <v>Celine Song</v>
      </c>
      <c r="D873" s="21" t="str">
        <f>IFERROR(__xludf.DUMMYFUNCTION("""COMPUTED_VALUE"""),"2023")</f>
        <v>2023</v>
      </c>
    </row>
    <row r="874" ht="15.75" customHeight="1">
      <c r="A874" s="9">
        <v>873.0</v>
      </c>
      <c r="B874" s="21" t="str">
        <f>IFERROR(__xludf.DUMMYFUNCTION("""COMPUTED_VALUE"""),"Perpetrator")</f>
        <v>Perpetrator</v>
      </c>
      <c r="C874" s="21" t="str">
        <f>IFERROR(__xludf.DUMMYFUNCTION("""COMPUTED_VALUE"""),"Jennifer Reeder")</f>
        <v>Jennifer Reeder</v>
      </c>
      <c r="D874" s="21" t="str">
        <f>IFERROR(__xludf.DUMMYFUNCTION("""COMPUTED_VALUE"""),"2023")</f>
        <v>2023</v>
      </c>
    </row>
    <row r="875" ht="15.75" customHeight="1">
      <c r="A875" s="9">
        <v>874.0</v>
      </c>
      <c r="B875" s="21" t="str">
        <f>IFERROR(__xludf.DUMMYFUNCTION("""COMPUTED_VALUE"""),"The Pod Generation")</f>
        <v>The Pod Generation</v>
      </c>
      <c r="C875" s="21" t="str">
        <f>IFERROR(__xludf.DUMMYFUNCTION("""COMPUTED_VALUE"""),"Sophie Barthes")</f>
        <v>Sophie Barthes</v>
      </c>
      <c r="D875" s="21" t="str">
        <f>IFERROR(__xludf.DUMMYFUNCTION("""COMPUTED_VALUE"""),"2023")</f>
        <v>2023</v>
      </c>
    </row>
    <row r="876" ht="15.75" customHeight="1">
      <c r="A876" s="9">
        <v>875.0</v>
      </c>
      <c r="B876" s="21" t="str">
        <f>IFERROR(__xludf.DUMMYFUNCTION("""COMPUTED_VALUE"""),"Polarized")</f>
        <v>Polarized</v>
      </c>
      <c r="C876" s="21" t="str">
        <f>IFERROR(__xludf.DUMMYFUNCTION("""COMPUTED_VALUE"""),"Shamim Sarif[8]")</f>
        <v>Shamim Sarif[8]</v>
      </c>
      <c r="D876" s="21" t="str">
        <f>IFERROR(__xludf.DUMMYFUNCTION("""COMPUTED_VALUE"""),"2023")</f>
        <v>2023</v>
      </c>
    </row>
    <row r="877" ht="15.75" customHeight="1">
      <c r="A877" s="9">
        <v>876.0</v>
      </c>
      <c r="B877" s="21" t="str">
        <f>IFERROR(__xludf.DUMMYFUNCTION("""COMPUTED_VALUE"""),"Polite Society")</f>
        <v>Polite Society</v>
      </c>
      <c r="C877" s="21" t="str">
        <f>IFERROR(__xludf.DUMMYFUNCTION("""COMPUTED_VALUE"""),"Nida Manzoor")</f>
        <v>Nida Manzoor</v>
      </c>
      <c r="D877" s="21" t="str">
        <f>IFERROR(__xludf.DUMMYFUNCTION("""COMPUTED_VALUE"""),"2023")</f>
        <v>2023</v>
      </c>
    </row>
    <row r="878" ht="15.75" customHeight="1">
      <c r="A878" s="9">
        <v>877.0</v>
      </c>
      <c r="B878" s="21" t="str">
        <f>IFERROR(__xludf.DUMMYFUNCTION("""COMPUTED_VALUE"""),"Priscilla")</f>
        <v>Priscilla</v>
      </c>
      <c r="C878" s="21" t="str">
        <f>IFERROR(__xludf.DUMMYFUNCTION("""COMPUTED_VALUE"""),"Sofia Coppola")</f>
        <v>Sofia Coppola</v>
      </c>
      <c r="D878" s="21" t="str">
        <f>IFERROR(__xludf.DUMMYFUNCTION("""COMPUTED_VALUE"""),"2023")</f>
        <v>2023</v>
      </c>
    </row>
    <row r="879" ht="15.75" customHeight="1">
      <c r="A879" s="9">
        <v>878.0</v>
      </c>
      <c r="B879" s="21" t="str">
        <f>IFERROR(__xludf.DUMMYFUNCTION("""COMPUTED_VALUE"""),"Rye Lane")</f>
        <v>Rye Lane</v>
      </c>
      <c r="C879" s="21" t="str">
        <f>IFERROR(__xludf.DUMMYFUNCTION("""COMPUTED_VALUE"""),"Raine Allen-Miller")</f>
        <v>Raine Allen-Miller</v>
      </c>
      <c r="D879" s="21" t="str">
        <f>IFERROR(__xludf.DUMMYFUNCTION("""COMPUTED_VALUE"""),"2023")</f>
        <v>2023</v>
      </c>
    </row>
    <row r="880" ht="15.75" customHeight="1">
      <c r="A880" s="9">
        <v>879.0</v>
      </c>
      <c r="B880" s="21" t="str">
        <f>IFERROR(__xludf.DUMMYFUNCTION("""COMPUTED_VALUE"""),"Saltburn")</f>
        <v>Saltburn</v>
      </c>
      <c r="C880" s="21" t="str">
        <f>IFERROR(__xludf.DUMMYFUNCTION("""COMPUTED_VALUE"""),"Emerald Fennell")</f>
        <v>Emerald Fennell</v>
      </c>
      <c r="D880" s="21" t="str">
        <f>IFERROR(__xludf.DUMMYFUNCTION("""COMPUTED_VALUE"""),"2023")</f>
        <v>2023</v>
      </c>
    </row>
    <row r="881" ht="15.75" customHeight="1">
      <c r="A881" s="9">
        <v>880.0</v>
      </c>
      <c r="B881" s="21" t="str">
        <f>IFERROR(__xludf.DUMMYFUNCTION("""COMPUTED_VALUE"""),"Scrambled")</f>
        <v>Scrambled</v>
      </c>
      <c r="C881" s="21" t="str">
        <f>IFERROR(__xludf.DUMMYFUNCTION("""COMPUTED_VALUE"""),"Leah McKendrick")</f>
        <v>Leah McKendrick</v>
      </c>
      <c r="D881" s="21" t="str">
        <f>IFERROR(__xludf.DUMMYFUNCTION("""COMPUTED_VALUE"""),"2023")</f>
        <v>2023</v>
      </c>
    </row>
    <row r="882" ht="15.75" customHeight="1">
      <c r="A882" s="9">
        <v>881.0</v>
      </c>
      <c r="B882" s="21" t="str">
        <f>IFERROR(__xludf.DUMMYFUNCTION("""COMPUTED_VALUE"""),"Scrapper")</f>
        <v>Scrapper</v>
      </c>
      <c r="C882" s="21" t="str">
        <f>IFERROR(__xludf.DUMMYFUNCTION("""COMPUTED_VALUE"""),"Charlotte Regan")</f>
        <v>Charlotte Regan</v>
      </c>
      <c r="D882" s="21" t="str">
        <f>IFERROR(__xludf.DUMMYFUNCTION("""COMPUTED_VALUE"""),"2023")</f>
        <v>2023</v>
      </c>
    </row>
    <row r="883" ht="15.75" customHeight="1">
      <c r="A883" s="9">
        <v>882.0</v>
      </c>
      <c r="B883" s="21" t="str">
        <f>IFERROR(__xludf.DUMMYFUNCTION("""COMPUTED_VALUE"""),"Sometimes I Think About Dying")</f>
        <v>Sometimes I Think About Dying</v>
      </c>
      <c r="C883" s="21" t="str">
        <f>IFERROR(__xludf.DUMMYFUNCTION("""COMPUTED_VALUE"""),"Rachel Lambert")</f>
        <v>Rachel Lambert</v>
      </c>
      <c r="D883" s="21" t="str">
        <f>IFERROR(__xludf.DUMMYFUNCTION("""COMPUTED_VALUE"""),"2023")</f>
        <v>2023</v>
      </c>
    </row>
    <row r="884" ht="15.75" customHeight="1">
      <c r="A884" s="9">
        <v>883.0</v>
      </c>
      <c r="B884" s="21" t="str">
        <f>IFERROR(__xludf.DUMMYFUNCTION("""COMPUTED_VALUE"""),"The Starling Girl")</f>
        <v>The Starling Girl</v>
      </c>
      <c r="C884" s="21" t="str">
        <f>IFERROR(__xludf.DUMMYFUNCTION("""COMPUTED_VALUE"""),"Laurel Parmet")</f>
        <v>Laurel Parmet</v>
      </c>
      <c r="D884" s="21" t="str">
        <f>IFERROR(__xludf.DUMMYFUNCTION("""COMPUTED_VALUE"""),"2023")</f>
        <v>2023</v>
      </c>
    </row>
    <row r="885" ht="15.75" customHeight="1">
      <c r="A885" s="9">
        <v>884.0</v>
      </c>
      <c r="B885" s="21" t="str">
        <f>IFERROR(__xludf.DUMMYFUNCTION("""COMPUTED_VALUE"""),"There's Something Wrong with the Children")</f>
        <v>There's Something Wrong with the Children</v>
      </c>
      <c r="C885" s="21" t="str">
        <f>IFERROR(__xludf.DUMMYFUNCTION("""COMPUTED_VALUE"""),"Roxanne Benjamin")</f>
        <v>Roxanne Benjamin</v>
      </c>
      <c r="D885" s="21" t="str">
        <f>IFERROR(__xludf.DUMMYFUNCTION("""COMPUTED_VALUE"""),"2023")</f>
        <v>2023</v>
      </c>
    </row>
    <row r="886" ht="15.75" customHeight="1">
      <c r="A886" s="9">
        <v>885.0</v>
      </c>
      <c r="B886" s="21" t="str">
        <f>IFERROR(__xludf.DUMMYFUNCTION("""COMPUTED_VALUE"""),"Totally Killer")</f>
        <v>Totally Killer</v>
      </c>
      <c r="C886" s="21" t="str">
        <f>IFERROR(__xludf.DUMMYFUNCTION("""COMPUTED_VALUE"""),"Nahnatchka Khan")</f>
        <v>Nahnatchka Khan</v>
      </c>
      <c r="D886" s="21" t="str">
        <f>IFERROR(__xludf.DUMMYFUNCTION("""COMPUTED_VALUE"""),"2023")</f>
        <v>2023</v>
      </c>
    </row>
    <row r="887" ht="15.75" customHeight="1">
      <c r="A887" s="9">
        <v>886.0</v>
      </c>
      <c r="B887" s="21" t="str">
        <f>IFERROR(__xludf.DUMMYFUNCTION("""COMPUTED_VALUE"""),"Unseen")</f>
        <v>Unseen</v>
      </c>
      <c r="C887" s="21" t="str">
        <f>IFERROR(__xludf.DUMMYFUNCTION("""COMPUTED_VALUE"""),"Yoko Okumura")</f>
        <v>Yoko Okumura</v>
      </c>
      <c r="D887" s="21" t="str">
        <f>IFERROR(__xludf.DUMMYFUNCTION("""COMPUTED_VALUE"""),"2023")</f>
        <v>2023</v>
      </c>
    </row>
    <row r="888" ht="15.75" customHeight="1">
      <c r="A888" s="9">
        <v>887.0</v>
      </c>
      <c r="B888" s="21" t="str">
        <f>IFERROR(__xludf.DUMMYFUNCTION("""COMPUTED_VALUE"""),"Woman of the Hour")</f>
        <v>Woman of the Hour</v>
      </c>
      <c r="C888" s="21" t="str">
        <f>IFERROR(__xludf.DUMMYFUNCTION("""COMPUTED_VALUE"""),"Anna Kendrick")</f>
        <v>Anna Kendrick</v>
      </c>
      <c r="D888" s="21" t="str">
        <f>IFERROR(__xludf.DUMMYFUNCTION("""COMPUTED_VALUE"""),"2023")</f>
        <v>2023</v>
      </c>
    </row>
    <row r="889" ht="15.75" customHeight="1">
      <c r="A889" s="9">
        <v>888.0</v>
      </c>
      <c r="B889" s="21" t="str">
        <f>IFERROR(__xludf.DUMMYFUNCTION("""COMPUTED_VALUE"""),"The Worst Idea Ever")</f>
        <v>The Worst Idea Ever</v>
      </c>
      <c r="C889" s="21" t="str">
        <f>IFERROR(__xludf.DUMMYFUNCTION("""COMPUTED_VALUE"""),"Pamela Tola")</f>
        <v>Pamela Tola</v>
      </c>
      <c r="D889" s="21" t="str">
        <f>IFERROR(__xludf.DUMMYFUNCTION("""COMPUTED_VALUE"""),"2023")</f>
        <v>2023</v>
      </c>
    </row>
    <row r="890" ht="15.75" customHeight="1">
      <c r="A890" s="9">
        <v>889.0</v>
      </c>
      <c r="B890" s="21" t="str">
        <f>IFERROR(__xludf.DUMMYFUNCTION("""COMPUTED_VALUE"""),"You Hurt My Feelings")</f>
        <v>You Hurt My Feelings</v>
      </c>
      <c r="C890" s="21" t="str">
        <f>IFERROR(__xludf.DUMMYFUNCTION("""COMPUTED_VALUE"""),"Nicole Holofcener")</f>
        <v>Nicole Holofcener</v>
      </c>
      <c r="D890" s="21" t="str">
        <f>IFERROR(__xludf.DUMMYFUNCTION("""COMPUTED_VALUE"""),"2023")</f>
        <v>2023</v>
      </c>
    </row>
    <row r="891" ht="15.75" customHeight="1">
      <c r="A891" s="9">
        <v>890.0</v>
      </c>
      <c r="B891" s="21" t="str">
        <f>IFERROR(__xludf.DUMMYFUNCTION("""COMPUTED_VALUE"""),"All We Imagine as Light")</f>
        <v>All We Imagine as Light</v>
      </c>
      <c r="C891" s="21" t="str">
        <f>IFERROR(__xludf.DUMMYFUNCTION("""COMPUTED_VALUE"""),"Payal Kapadia")</f>
        <v>Payal Kapadia</v>
      </c>
      <c r="D891" s="21" t="str">
        <f>IFERROR(__xludf.DUMMYFUNCTION("""COMPUTED_VALUE"""),"2024")</f>
        <v>2024</v>
      </c>
    </row>
    <row r="892" ht="15.75" customHeight="1">
      <c r="A892" s="9">
        <v>891.0</v>
      </c>
      <c r="B892" s="21" t="str">
        <f>IFERROR(__xludf.DUMMYFUNCTION("""COMPUTED_VALUE"""),"Apartment 7A")</f>
        <v>Apartment 7A</v>
      </c>
      <c r="C892" s="21" t="str">
        <f>IFERROR(__xludf.DUMMYFUNCTION("""COMPUTED_VALUE"""),"Natalie Erika James")</f>
        <v>Natalie Erika James</v>
      </c>
      <c r="D892" s="21" t="str">
        <f>IFERROR(__xludf.DUMMYFUNCTION("""COMPUTED_VALUE"""),"2024")</f>
        <v>2024</v>
      </c>
    </row>
    <row r="893" ht="15.75" customHeight="1">
      <c r="A893" s="9">
        <v>892.0</v>
      </c>
      <c r="B893" s="21" t="str">
        <f>IFERROR(__xludf.DUMMYFUNCTION("""COMPUTED_VALUE"""),"The Black Sea")</f>
        <v>The Black Sea</v>
      </c>
      <c r="C893" s="21" t="str">
        <f>IFERROR(__xludf.DUMMYFUNCTION("""COMPUTED_VALUE"""),"Crystal Moselle")</f>
        <v>Crystal Moselle</v>
      </c>
      <c r="D893" s="21" t="str">
        <f>IFERROR(__xludf.DUMMYFUNCTION("""COMPUTED_VALUE"""),"2024")</f>
        <v>2024</v>
      </c>
    </row>
    <row r="894" ht="15.75" customHeight="1">
      <c r="A894" s="9">
        <v>893.0</v>
      </c>
      <c r="B894" s="21" t="str">
        <f>IFERROR(__xludf.DUMMYFUNCTION("""COMPUTED_VALUE"""),"Blink Twice")</f>
        <v>Blink Twice</v>
      </c>
      <c r="C894" s="21" t="str">
        <f>IFERROR(__xludf.DUMMYFUNCTION("""COMPUTED_VALUE"""),"Zoë Kravitz")</f>
        <v>Zoë Kravitz</v>
      </c>
      <c r="D894" s="21" t="str">
        <f>IFERROR(__xludf.DUMMYFUNCTION("""COMPUTED_VALUE"""),"2024")</f>
        <v>2024</v>
      </c>
    </row>
    <row r="895" ht="15.75" customHeight="1">
      <c r="A895" s="9">
        <v>894.0</v>
      </c>
      <c r="B895" s="21" t="str">
        <f>IFERROR(__xludf.DUMMYFUNCTION("""COMPUTED_VALUE"""),"Babygirl")</f>
        <v>Babygirl</v>
      </c>
      <c r="C895" s="21" t="str">
        <f>IFERROR(__xludf.DUMMYFUNCTION("""COMPUTED_VALUE"""),"Halina Reijn")</f>
        <v>Halina Reijn</v>
      </c>
      <c r="D895" s="21" t="str">
        <f>IFERROR(__xludf.DUMMYFUNCTION("""COMPUTED_VALUE"""),"2024")</f>
        <v>2024</v>
      </c>
    </row>
    <row r="896" ht="15.75" customHeight="1">
      <c r="A896" s="9">
        <v>895.0</v>
      </c>
      <c r="B896" s="21" t="str">
        <f>IFERROR(__xludf.DUMMYFUNCTION("""COMPUTED_VALUE"""),"Beautiful Rebel")</f>
        <v>Beautiful Rebel</v>
      </c>
      <c r="C896" s="21" t="str">
        <f>IFERROR(__xludf.DUMMYFUNCTION("""COMPUTED_VALUE"""),"Cinzia Torrini")</f>
        <v>Cinzia Torrini</v>
      </c>
      <c r="D896" s="21" t="str">
        <f>IFERROR(__xludf.DUMMYFUNCTION("""COMPUTED_VALUE"""),"2024")</f>
        <v>2024</v>
      </c>
    </row>
    <row r="897" ht="15.75" customHeight="1">
      <c r="A897" s="9">
        <v>896.0</v>
      </c>
      <c r="B897" s="21" t="str">
        <f>IFERROR(__xludf.DUMMYFUNCTION("""COMPUTED_VALUE"""),"Bird")</f>
        <v>Bird</v>
      </c>
      <c r="C897" s="21" t="str">
        <f>IFERROR(__xludf.DUMMYFUNCTION("""COMPUTED_VALUE"""),"Andrea Arnold")</f>
        <v>Andrea Arnold</v>
      </c>
      <c r="D897" s="21" t="str">
        <f>IFERROR(__xludf.DUMMYFUNCTION("""COMPUTED_VALUE"""),"2024")</f>
        <v>2024</v>
      </c>
    </row>
    <row r="898" ht="15.75" customHeight="1">
      <c r="A898" s="9">
        <v>897.0</v>
      </c>
      <c r="B898" s="21" t="str">
        <f>IFERROR(__xludf.DUMMYFUNCTION("""COMPUTED_VALUE"""),"The Fire Inside")</f>
        <v>The Fire Inside</v>
      </c>
      <c r="C898" s="21" t="str">
        <f>IFERROR(__xludf.DUMMYFUNCTION("""COMPUTED_VALUE"""),"Rachel Morrison")</f>
        <v>Rachel Morrison</v>
      </c>
      <c r="D898" s="21" t="str">
        <f>IFERROR(__xludf.DUMMYFUNCTION("""COMPUTED_VALUE"""),"2024")</f>
        <v>2024</v>
      </c>
    </row>
    <row r="899" ht="15.75" customHeight="1">
      <c r="A899" s="9">
        <v>898.0</v>
      </c>
      <c r="B899" s="21" t="str">
        <f>IFERROR(__xludf.DUMMYFUNCTION("""COMPUTED_VALUE"""),"The Last Showgirl")</f>
        <v>The Last Showgirl</v>
      </c>
      <c r="C899" s="21" t="str">
        <f>IFERROR(__xludf.DUMMYFUNCTION("""COMPUTED_VALUE"""),"Gia Coppola")</f>
        <v>Gia Coppola</v>
      </c>
      <c r="D899" s="21" t="str">
        <f>IFERROR(__xludf.DUMMYFUNCTION("""COMPUTED_VALUE"""),"2024")</f>
        <v>2024</v>
      </c>
    </row>
    <row r="900" ht="15.75" customHeight="1">
      <c r="A900" s="9">
        <v>899.0</v>
      </c>
      <c r="B900" s="21" t="str">
        <f>IFERROR(__xludf.DUMMYFUNCTION("""COMPUTED_VALUE"""),"Love in the Big City")</f>
        <v>Love in the Big City</v>
      </c>
      <c r="C900" s="21" t="str">
        <f>IFERROR(__xludf.DUMMYFUNCTION("""COMPUTED_VALUE"""),"E.oni")</f>
        <v>E.oni</v>
      </c>
      <c r="D900" s="21" t="str">
        <f>IFERROR(__xludf.DUMMYFUNCTION("""COMPUTED_VALUE"""),"2024")</f>
        <v>2024</v>
      </c>
    </row>
    <row r="901" ht="15.75" customHeight="1">
      <c r="A901" s="9">
        <v>900.0</v>
      </c>
      <c r="B901" s="21" t="str">
        <f>IFERROR(__xludf.DUMMYFUNCTION("""COMPUTED_VALUE"""),"Love Lies Bleeding")</f>
        <v>Love Lies Bleeding</v>
      </c>
      <c r="C901" s="21" t="str">
        <f>IFERROR(__xludf.DUMMYFUNCTION("""COMPUTED_VALUE"""),"Rose Glass")</f>
        <v>Rose Glass</v>
      </c>
      <c r="D901" s="21" t="str">
        <f>IFERROR(__xludf.DUMMYFUNCTION("""COMPUTED_VALUE"""),"2024")</f>
        <v>2024</v>
      </c>
    </row>
    <row r="902" ht="15.75" customHeight="1">
      <c r="A902" s="9">
        <v>901.0</v>
      </c>
      <c r="B902" s="21" t="str">
        <f>IFERROR(__xludf.DUMMYFUNCTION("""COMPUTED_VALUE"""),"Madame Web")</f>
        <v>Madame Web</v>
      </c>
      <c r="C902" s="21" t="str">
        <f>IFERROR(__xludf.DUMMYFUNCTION("""COMPUTED_VALUE"""),"S. J. Clarkson")</f>
        <v>S. J. Clarkson</v>
      </c>
      <c r="D902" s="21" t="str">
        <f>IFERROR(__xludf.DUMMYFUNCTION("""COMPUTED_VALUE"""),"2024")</f>
        <v>2024</v>
      </c>
    </row>
    <row r="903" ht="15.75" customHeight="1">
      <c r="A903" s="9">
        <v>902.0</v>
      </c>
      <c r="B903" s="21" t="str">
        <f>IFERROR(__xludf.DUMMYFUNCTION("""COMPUTED_VALUE"""),"Moana 2")</f>
        <v>Moana 2</v>
      </c>
      <c r="C903" s="21" t="str">
        <f>IFERROR(__xludf.DUMMYFUNCTION("""COMPUTED_VALUE"""),"Dana Ledoux Miller, co-directed with David Derrick Jr. &amp; Jason Hand")</f>
        <v>Dana Ledoux Miller, co-directed with David Derrick Jr. &amp; Jason Hand</v>
      </c>
      <c r="D903" s="21" t="str">
        <f>IFERROR(__xludf.DUMMYFUNCTION("""COMPUTED_VALUE"""),"2024")</f>
        <v>2024</v>
      </c>
    </row>
    <row r="904" ht="15.75" customHeight="1">
      <c r="A904" s="9">
        <v>903.0</v>
      </c>
      <c r="B904" s="21" t="str">
        <f>IFERROR(__xludf.DUMMYFUNCTION("""COMPUTED_VALUE"""),"My Name Is Dingo")</f>
        <v>My Name Is Dingo</v>
      </c>
      <c r="C904" s="21" t="str">
        <f>IFERROR(__xludf.DUMMYFUNCTION("""COMPUTED_VALUE"""),"Mari Rantasila")</f>
        <v>Mari Rantasila</v>
      </c>
      <c r="D904" s="21" t="str">
        <f>IFERROR(__xludf.DUMMYFUNCTION("""COMPUTED_VALUE"""),"2024")</f>
        <v>2024</v>
      </c>
    </row>
    <row r="905" ht="15.75" customHeight="1">
      <c r="A905" s="9">
        <v>904.0</v>
      </c>
      <c r="B905" s="21" t="str">
        <f>IFERROR(__xludf.DUMMYFUNCTION("""COMPUTED_VALUE"""),"My Old Ass")</f>
        <v>My Old Ass</v>
      </c>
      <c r="C905" s="21" t="str">
        <f>IFERROR(__xludf.DUMMYFUNCTION("""COMPUTED_VALUE"""),"Megan Park")</f>
        <v>Megan Park</v>
      </c>
      <c r="D905" s="21" t="str">
        <f>IFERROR(__xludf.DUMMYFUNCTION("""COMPUTED_VALUE"""),"2024")</f>
        <v>2024</v>
      </c>
    </row>
    <row r="906" ht="15.75" customHeight="1">
      <c r="A906" s="9">
        <v>905.0</v>
      </c>
      <c r="B906" s="21" t="str">
        <f>IFERROR(__xludf.DUMMYFUNCTION("""COMPUTED_VALUE"""),"My Undesirable Friends: Part I — Last Air in Moscow")</f>
        <v>My Undesirable Friends: Part I — Last Air in Moscow</v>
      </c>
      <c r="C906" s="21" t="str">
        <f>IFERROR(__xludf.DUMMYFUNCTION("""COMPUTED_VALUE"""),"Julia Loktev")</f>
        <v>Julia Loktev</v>
      </c>
      <c r="D906" s="21" t="str">
        <f>IFERROR(__xludf.DUMMYFUNCTION("""COMPUTED_VALUE"""),"2024")</f>
        <v>2024</v>
      </c>
    </row>
    <row r="907" ht="15.75" customHeight="1">
      <c r="A907" s="9">
        <v>906.0</v>
      </c>
      <c r="B907" s="21" t="str">
        <f>IFERROR(__xludf.DUMMYFUNCTION("""COMPUTED_VALUE"""),"Nightbitch")</f>
        <v>Nightbitch</v>
      </c>
      <c r="C907" s="21" t="str">
        <f>IFERROR(__xludf.DUMMYFUNCTION("""COMPUTED_VALUE"""),"Marielle Heller")</f>
        <v>Marielle Heller</v>
      </c>
      <c r="D907" s="21" t="str">
        <f>IFERROR(__xludf.DUMMYFUNCTION("""COMPUTED_VALUE"""),"2024")</f>
        <v>2024</v>
      </c>
    </row>
    <row r="908" ht="15.75" customHeight="1">
      <c r="A908" s="9">
        <v>907.0</v>
      </c>
      <c r="B908" s="21" t="str">
        <f>IFERROR(__xludf.DUMMYFUNCTION("""COMPUTED_VALUE"""),"Stolen")</f>
        <v>Stolen</v>
      </c>
      <c r="C908" s="21" t="str">
        <f>IFERROR(__xludf.DUMMYFUNCTION("""COMPUTED_VALUE"""),"Elle Márjá Eira")</f>
        <v>Elle Márjá Eira</v>
      </c>
      <c r="D908" s="21" t="str">
        <f>IFERROR(__xludf.DUMMYFUNCTION("""COMPUTED_VALUE"""),"2024")</f>
        <v>2024</v>
      </c>
    </row>
    <row r="909" ht="15.75" customHeight="1">
      <c r="A909" s="9">
        <v>908.0</v>
      </c>
      <c r="B909" s="21" t="str">
        <f>IFERROR(__xludf.DUMMYFUNCTION("""COMPUTED_VALUE"""),"Stormskerry Maja")</f>
        <v>Stormskerry Maja</v>
      </c>
      <c r="C909" s="21" t="str">
        <f>IFERROR(__xludf.DUMMYFUNCTION("""COMPUTED_VALUE"""),"Tiina Lymi")</f>
        <v>Tiina Lymi</v>
      </c>
      <c r="D909" s="21" t="str">
        <f>IFERROR(__xludf.DUMMYFUNCTION("""COMPUTED_VALUE"""),"2024")</f>
        <v>2024</v>
      </c>
    </row>
    <row r="910" ht="15.75" customHeight="1">
      <c r="A910" s="9">
        <v>909.0</v>
      </c>
      <c r="B910" s="21" t="str">
        <f>IFERROR(__xludf.DUMMYFUNCTION("""COMPUTED_VALUE"""),"The Substance")</f>
        <v>The Substance</v>
      </c>
      <c r="C910" s="21" t="str">
        <f>IFERROR(__xludf.DUMMYFUNCTION("""COMPUTED_VALUE"""),"Coralie Fargeat")</f>
        <v>Coralie Fargeat</v>
      </c>
      <c r="D910" s="21" t="str">
        <f>IFERROR(__xludf.DUMMYFUNCTION("""COMPUTED_VALUE"""),"2024")</f>
        <v>2024</v>
      </c>
    </row>
    <row r="911" ht="15.75" customHeight="1">
      <c r="A911" s="9">
        <v>910.0</v>
      </c>
      <c r="B911" s="21" t="str">
        <f>IFERROR(__xludf.DUMMYFUNCTION("""COMPUTED_VALUE"""),"Toxic")</f>
        <v>Toxic</v>
      </c>
      <c r="C911" s="21" t="str">
        <f>IFERROR(__xludf.DUMMYFUNCTION("""COMPUTED_VALUE"""),"Saulė Bliuvaitė")</f>
        <v>Saulė Bliuvaitė</v>
      </c>
      <c r="D911" s="21" t="str">
        <f>IFERROR(__xludf.DUMMYFUNCTION("""COMPUTED_VALUE"""),"2024")</f>
        <v>2024</v>
      </c>
    </row>
    <row r="912" ht="15.75" customHeight="1">
      <c r="A912" s="9">
        <v>911.0</v>
      </c>
      <c r="B912" s="21" t="str">
        <f>IFERROR(__xludf.DUMMYFUNCTION("""COMPUTED_VALUE"""),"Venom: The Last Dance")</f>
        <v>Venom: The Last Dance</v>
      </c>
      <c r="C912" s="21" t="str">
        <f>IFERROR(__xludf.DUMMYFUNCTION("""COMPUTED_VALUE"""),"Kelly Marcel")</f>
        <v>Kelly Marcel</v>
      </c>
      <c r="D912" s="21" t="str">
        <f>IFERROR(__xludf.DUMMYFUNCTION("""COMPUTED_VALUE"""),"2024")</f>
        <v>2024</v>
      </c>
    </row>
    <row r="913" ht="15.75" customHeight="1">
      <c r="A913" s="9">
        <v>912.0</v>
      </c>
      <c r="B913" s="21" t="str">
        <f>IFERROR(__xludf.DUMMYFUNCTION("""COMPUTED_VALUE"""),"The Outrun")</f>
        <v>The Outrun</v>
      </c>
      <c r="C913" s="21" t="str">
        <f>IFERROR(__xludf.DUMMYFUNCTION("""COMPUTED_VALUE"""),"Nora Fingscheidt")</f>
        <v>Nora Fingscheidt</v>
      </c>
      <c r="D913" s="21" t="str">
        <f>IFERROR(__xludf.DUMMYFUNCTION("""COMPUTED_VALUE"""),"2024")</f>
        <v>2024</v>
      </c>
    </row>
    <row r="914" ht="15.75" customHeight="1">
      <c r="A914" s="9">
        <v>913.0</v>
      </c>
      <c r="B914" s="21" t="str">
        <f>IFERROR(__xludf.DUMMYFUNCTION("""COMPUTED_VALUE"""),"100 Sunset")</f>
        <v>100 Sunset</v>
      </c>
      <c r="C914" s="21" t="str">
        <f>IFERROR(__xludf.DUMMYFUNCTION("""COMPUTED_VALUE"""),"Kunsang Kyirong")</f>
        <v>Kunsang Kyirong</v>
      </c>
      <c r="D914" s="21" t="str">
        <f>IFERROR(__xludf.DUMMYFUNCTION("""COMPUTED_VALUE"""),"2025")</f>
        <v>2025</v>
      </c>
    </row>
    <row r="915" ht="15.75" customHeight="1">
      <c r="A915" s="9">
        <v>914.0</v>
      </c>
      <c r="B915" s="21" t="str">
        <f>IFERROR(__xludf.DUMMYFUNCTION("""COMPUTED_VALUE"""),"After Dreaming")</f>
        <v>After Dreaming</v>
      </c>
      <c r="C915" s="21" t="str">
        <f>IFERROR(__xludf.DUMMYFUNCTION("""COMPUTED_VALUE"""),"Christine Haroutounian")</f>
        <v>Christine Haroutounian</v>
      </c>
      <c r="D915" s="21" t="str">
        <f>IFERROR(__xludf.DUMMYFUNCTION("""COMPUTED_VALUE"""),"2025")</f>
        <v>2025</v>
      </c>
    </row>
    <row r="916" ht="15.75" customHeight="1">
      <c r="A916" s="9">
        <v>915.0</v>
      </c>
      <c r="B916" s="21" t="str">
        <f>IFERROR(__xludf.DUMMYFUNCTION("""COMPUTED_VALUE"""),"Akashi")</f>
        <v>Akashi</v>
      </c>
      <c r="C916" s="21" t="str">
        <f>IFERROR(__xludf.DUMMYFUNCTION("""COMPUTED_VALUE"""),"Mayumi Yoshida")</f>
        <v>Mayumi Yoshida</v>
      </c>
      <c r="D916" s="21" t="str">
        <f>IFERROR(__xludf.DUMMYFUNCTION("""COMPUTED_VALUE"""),"2025")</f>
        <v>2025</v>
      </c>
    </row>
    <row r="917" ht="15.75" customHeight="1">
      <c r="A917" s="9">
        <v>916.0</v>
      </c>
      <c r="B917" s="21" t="str">
        <f>IFERROR(__xludf.DUMMYFUNCTION("""COMPUTED_VALUE"""),"Alpha")</f>
        <v>Alpha</v>
      </c>
      <c r="C917" s="21" t="str">
        <f>IFERROR(__xludf.DUMMYFUNCTION("""COMPUTED_VALUE"""),"Julia Ducournau")</f>
        <v>Julia Ducournau</v>
      </c>
      <c r="D917" s="21" t="str">
        <f>IFERROR(__xludf.DUMMYFUNCTION("""COMPUTED_VALUE"""),"2025")</f>
        <v>2025</v>
      </c>
    </row>
    <row r="918" ht="15.75" customHeight="1">
      <c r="A918" s="9">
        <v>917.0</v>
      </c>
      <c r="B918" s="21" t="str">
        <f>IFERROR(__xludf.DUMMYFUNCTION("""COMPUTED_VALUE"""),"Bad Girl")</f>
        <v>Bad Girl</v>
      </c>
      <c r="C918" s="21" t="str">
        <f>IFERROR(__xludf.DUMMYFUNCTION("""COMPUTED_VALUE"""),"Varsha Bharath")</f>
        <v>Varsha Bharath</v>
      </c>
      <c r="D918" s="21" t="str">
        <f>IFERROR(__xludf.DUMMYFUNCTION("""COMPUTED_VALUE"""),"2025")</f>
        <v>2025</v>
      </c>
    </row>
    <row r="919" ht="15.75" customHeight="1">
      <c r="A919" s="9">
        <v>918.0</v>
      </c>
      <c r="B919" s="21" t="str">
        <f>IFERROR(__xludf.DUMMYFUNCTION("""COMPUTED_VALUE"""),"Bad Influence")</f>
        <v>Bad Influence</v>
      </c>
      <c r="C919" s="21" t="str">
        <f>IFERROR(__xludf.DUMMYFUNCTION("""COMPUTED_VALUE"""),"Chloé Wallace")</f>
        <v>Chloé Wallace</v>
      </c>
      <c r="D919" s="21" t="str">
        <f>IFERROR(__xludf.DUMMYFUNCTION("""COMPUTED_VALUE"""),"2025")</f>
        <v>2025</v>
      </c>
    </row>
    <row r="920" ht="15.75" customHeight="1">
      <c r="A920" s="9">
        <v>919.0</v>
      </c>
      <c r="B920" s="21" t="str">
        <f>IFERROR(__xludf.DUMMYFUNCTION("""COMPUTED_VALUE"""),"Bird in Hand")</f>
        <v>Bird in Hand</v>
      </c>
      <c r="C920" s="21" t="str">
        <f>IFERROR(__xludf.DUMMYFUNCTION("""COMPUTED_VALUE"""),"Melody C. Roscher")</f>
        <v>Melody C. Roscher</v>
      </c>
      <c r="D920" s="21" t="str">
        <f>IFERROR(__xludf.DUMMYFUNCTION("""COMPUTED_VALUE"""),"2025")</f>
        <v>2025</v>
      </c>
    </row>
    <row r="921" ht="15.75" customHeight="1">
      <c r="A921" s="9">
        <v>920.0</v>
      </c>
      <c r="B921" s="21" t="str">
        <f>IFERROR(__xludf.DUMMYFUNCTION("""COMPUTED_VALUE"""),"The Crazy Empress")</f>
        <v>The Crazy Empress</v>
      </c>
      <c r="C921" s="21" t="str">
        <f>IFERROR(__xludf.DUMMYFUNCTION("""COMPUTED_VALUE"""),"Radda Novikova")</f>
        <v>Radda Novikova</v>
      </c>
      <c r="D921" s="21" t="str">
        <f>IFERROR(__xludf.DUMMYFUNCTION("""COMPUTED_VALUE"""),"2025")</f>
        <v>2025</v>
      </c>
    </row>
    <row r="922" ht="15.75" customHeight="1">
      <c r="A922" s="9">
        <v>921.0</v>
      </c>
      <c r="B922" s="21" t="str">
        <f>IFERROR(__xludf.DUMMYFUNCTION("""COMPUTED_VALUE"""),"The Curse of Modigliani")</f>
        <v>The Curse of Modigliani</v>
      </c>
      <c r="C922" s="21" t="str">
        <f>IFERROR(__xludf.DUMMYFUNCTION("""COMPUTED_VALUE"""),"Diana Ringo")</f>
        <v>Diana Ringo</v>
      </c>
      <c r="D922" s="21" t="str">
        <f>IFERROR(__xludf.DUMMYFUNCTION("""COMPUTED_VALUE"""),"2025")</f>
        <v>2025</v>
      </c>
    </row>
    <row r="923" ht="15.75" customHeight="1">
      <c r="A923" s="9">
        <v>922.0</v>
      </c>
      <c r="B923" s="21" t="str">
        <f>IFERROR(__xludf.DUMMYFUNCTION("""COMPUTED_VALUE"""),"Dead Lover")</f>
        <v>Dead Lover</v>
      </c>
      <c r="C923" s="21" t="str">
        <f>IFERROR(__xludf.DUMMYFUNCTION("""COMPUTED_VALUE"""),"Grace Glowicki")</f>
        <v>Grace Glowicki</v>
      </c>
      <c r="D923" s="21" t="str">
        <f>IFERROR(__xludf.DUMMYFUNCTION("""COMPUTED_VALUE"""),"2025")</f>
        <v>2025</v>
      </c>
    </row>
    <row r="924" ht="15.75" customHeight="1">
      <c r="A924" s="9">
        <v>923.0</v>
      </c>
      <c r="B924" s="21" t="str">
        <f>IFERROR(__xludf.DUMMYFUNCTION("""COMPUTED_VALUE"""),"Die My Love")</f>
        <v>Die My Love</v>
      </c>
      <c r="C924" s="21" t="str">
        <f>IFERROR(__xludf.DUMMYFUNCTION("""COMPUTED_VALUE"""),"Lynne Ramsay")</f>
        <v>Lynne Ramsay</v>
      </c>
      <c r="D924" s="21" t="str">
        <f>IFERROR(__xludf.DUMMYFUNCTION("""COMPUTED_VALUE"""),"2025")</f>
        <v>2025</v>
      </c>
    </row>
    <row r="925" ht="15.75" customHeight="1">
      <c r="A925" s="9">
        <v>924.0</v>
      </c>
      <c r="B925" s="21" t="str">
        <f>IFERROR(__xludf.DUMMYFUNCTION("""COMPUTED_VALUE"""),"Eleanor the Great")</f>
        <v>Eleanor the Great</v>
      </c>
      <c r="C925" s="21" t="str">
        <f>IFERROR(__xludf.DUMMYFUNCTION("""COMPUTED_VALUE"""),"Scarlett Johansson")</f>
        <v>Scarlett Johansson</v>
      </c>
      <c r="D925" s="21" t="str">
        <f>IFERROR(__xludf.DUMMYFUNCTION("""COMPUTED_VALUE"""),"2025")</f>
        <v>2025</v>
      </c>
    </row>
    <row r="926" ht="15.75" customHeight="1">
      <c r="A926" s="9">
        <v>925.0</v>
      </c>
      <c r="B926" s="21" t="str">
        <f>IFERROR(__xludf.DUMMYFUNCTION("""COMPUTED_VALUE"""),"Franz")</f>
        <v>Franz</v>
      </c>
      <c r="C926" s="21" t="str">
        <f>IFERROR(__xludf.DUMMYFUNCTION("""COMPUTED_VALUE"""),"Agnieszka Holland")</f>
        <v>Agnieszka Holland</v>
      </c>
      <c r="D926" s="21" t="str">
        <f>IFERROR(__xludf.DUMMYFUNCTION("""COMPUTED_VALUE"""),"2025")</f>
        <v>2025</v>
      </c>
    </row>
    <row r="927" ht="15.75" customHeight="1">
      <c r="A927" s="9">
        <v>926.0</v>
      </c>
      <c r="B927" s="21" t="str">
        <f>IFERROR(__xludf.DUMMYFUNCTION("""COMPUTED_VALUE"""),"Hamnet")</f>
        <v>Hamnet</v>
      </c>
      <c r="C927" s="21" t="str">
        <f>IFERROR(__xludf.DUMMYFUNCTION("""COMPUTED_VALUE"""),"Chloé Zhao")</f>
        <v>Chloé Zhao</v>
      </c>
      <c r="D927" s="21" t="str">
        <f>IFERROR(__xludf.DUMMYFUNCTION("""COMPUTED_VALUE"""),"2025")</f>
        <v>2025</v>
      </c>
    </row>
    <row r="928" ht="15.75" customHeight="1">
      <c r="A928" s="9">
        <v>927.0</v>
      </c>
      <c r="B928" s="21" t="str">
        <f>IFERROR(__xludf.DUMMYFUNCTION("""COMPUTED_VALUE"""),"Hedda")</f>
        <v>Hedda</v>
      </c>
      <c r="C928" s="21" t="str">
        <f>IFERROR(__xludf.DUMMYFUNCTION("""COMPUTED_VALUE"""),"Nia DaCosta")</f>
        <v>Nia DaCosta</v>
      </c>
      <c r="D928" s="21" t="str">
        <f>IFERROR(__xludf.DUMMYFUNCTION("""COMPUTED_VALUE"""),"2025")</f>
        <v>2025</v>
      </c>
    </row>
    <row r="929" ht="15.75" customHeight="1">
      <c r="A929" s="9">
        <v>928.0</v>
      </c>
      <c r="B929" s="21" t="str">
        <f>IFERROR(__xludf.DUMMYFUNCTION("""COMPUTED_VALUE"""),"A House of Dynamite")</f>
        <v>A House of Dynamite</v>
      </c>
      <c r="C929" s="21" t="str">
        <f>IFERROR(__xludf.DUMMYFUNCTION("""COMPUTED_VALUE"""),"Kathryn Bigelow")</f>
        <v>Kathryn Bigelow</v>
      </c>
      <c r="D929" s="21" t="str">
        <f>IFERROR(__xludf.DUMMYFUNCTION("""COMPUTED_VALUE"""),"2025")</f>
        <v>2025</v>
      </c>
    </row>
    <row r="930" ht="15.75" customHeight="1">
      <c r="A930" s="9">
        <v>929.0</v>
      </c>
      <c r="B930" s="21" t="str">
        <f>IFERROR(__xludf.DUMMYFUNCTION("""COMPUTED_VALUE"""),"The Ice Tower")</f>
        <v>The Ice Tower</v>
      </c>
      <c r="C930" s="21" t="str">
        <f>IFERROR(__xludf.DUMMYFUNCTION("""COMPUTED_VALUE"""),"Lucile Hadžihalilović")</f>
        <v>Lucile Hadžihalilović</v>
      </c>
      <c r="D930" s="21" t="str">
        <f>IFERROR(__xludf.DUMMYFUNCTION("""COMPUTED_VALUE"""),"2025")</f>
        <v>2025</v>
      </c>
    </row>
    <row r="931" ht="15.75" customHeight="1">
      <c r="A931" s="9">
        <v>930.0</v>
      </c>
      <c r="B931" s="21" t="str">
        <f>IFERROR(__xludf.DUMMYFUNCTION("""COMPUTED_VALUE"""),"If I Had Legs I'd Kick You")</f>
        <v>If I Had Legs I'd Kick You</v>
      </c>
      <c r="C931" s="21" t="str">
        <f>IFERROR(__xludf.DUMMYFUNCTION("""COMPUTED_VALUE"""),"Mary Bronstein")</f>
        <v>Mary Bronstein</v>
      </c>
      <c r="D931" s="21" t="str">
        <f>IFERROR(__xludf.DUMMYFUNCTION("""COMPUTED_VALUE"""),"2025")</f>
        <v>2025</v>
      </c>
    </row>
    <row r="932" ht="15.75" customHeight="1">
      <c r="A932" s="9">
        <v>931.0</v>
      </c>
      <c r="B932" s="21" t="str">
        <f>IFERROR(__xludf.DUMMYFUNCTION("""COMPUTED_VALUE"""),"KPop Demon Hunters")</f>
        <v>KPop Demon Hunters</v>
      </c>
      <c r="C932" s="21" t="str">
        <f>IFERROR(__xludf.DUMMYFUNCTION("""COMPUTED_VALUE"""),"Maggie Kang, co-directed with Chris Appelhans")</f>
        <v>Maggie Kang, co-directed with Chris Appelhans</v>
      </c>
      <c r="D932" s="21" t="str">
        <f>IFERROR(__xludf.DUMMYFUNCTION("""COMPUTED_VALUE"""),"2025")</f>
        <v>2025</v>
      </c>
    </row>
    <row r="933" ht="15.75" customHeight="1">
      <c r="A933" s="9">
        <v>932.0</v>
      </c>
      <c r="B933" s="21" t="str">
        <f>IFERROR(__xludf.DUMMYFUNCTION("""COMPUTED_VALUE"""),"Love, Brooklyn")</f>
        <v>Love, Brooklyn</v>
      </c>
      <c r="C933" s="21" t="str">
        <f>IFERROR(__xludf.DUMMYFUNCTION("""COMPUTED_VALUE"""),"Rachael Abigail Holder")</f>
        <v>Rachael Abigail Holder</v>
      </c>
      <c r="D933" s="21" t="str">
        <f>IFERROR(__xludf.DUMMYFUNCTION("""COMPUTED_VALUE"""),"2025")</f>
        <v>2025</v>
      </c>
    </row>
    <row r="934" ht="15.75" customHeight="1">
      <c r="A934" s="9">
        <v>933.0</v>
      </c>
      <c r="B934" s="21" t="str">
        <f>IFERROR(__xludf.DUMMYFUNCTION("""COMPUTED_VALUE"""),"The Mastermind")</f>
        <v>The Mastermind</v>
      </c>
      <c r="C934" s="21" t="str">
        <f>IFERROR(__xludf.DUMMYFUNCTION("""COMPUTED_VALUE"""),"Kelly Reichardt")</f>
        <v>Kelly Reichardt</v>
      </c>
      <c r="D934" s="21" t="str">
        <f>IFERROR(__xludf.DUMMYFUNCTION("""COMPUTED_VALUE"""),"2025")</f>
        <v>2025</v>
      </c>
    </row>
    <row r="935" ht="15.75" customHeight="1">
      <c r="A935" s="9">
        <v>934.0</v>
      </c>
      <c r="B935" s="21" t="str">
        <f>IFERROR(__xludf.DUMMYFUNCTION("""COMPUTED_VALUE"""),"Nesting")</f>
        <v>Nesting</v>
      </c>
      <c r="C935" s="21" t="str">
        <f>IFERROR(__xludf.DUMMYFUNCTION("""COMPUTED_VALUE"""),"Chloé Cinq-Mars")</f>
        <v>Chloé Cinq-Mars</v>
      </c>
      <c r="D935" s="21" t="str">
        <f>IFERROR(__xludf.DUMMYFUNCTION("""COMPUTED_VALUE"""),"2025")</f>
        <v>2025</v>
      </c>
    </row>
    <row r="936" ht="15.75" customHeight="1">
      <c r="A936" s="9">
        <v>935.0</v>
      </c>
      <c r="B936" s="21" t="str">
        <f>IFERROR(__xludf.DUMMYFUNCTION("""COMPUTED_VALUE"""),"The Old Guard 2")</f>
        <v>The Old Guard 2</v>
      </c>
      <c r="C936" s="21" t="str">
        <f>IFERROR(__xludf.DUMMYFUNCTION("""COMPUTED_VALUE"""),"Victoria Mahoney")</f>
        <v>Victoria Mahoney</v>
      </c>
      <c r="D936" s="21" t="str">
        <f>IFERROR(__xludf.DUMMYFUNCTION("""COMPUTED_VALUE"""),"2025")</f>
        <v>2025</v>
      </c>
    </row>
    <row r="937" ht="15.75" customHeight="1">
      <c r="A937" s="9">
        <v>936.0</v>
      </c>
      <c r="B937" s="21" t="str">
        <f>IFERROR(__xludf.DUMMYFUNCTION("""COMPUTED_VALUE"""),"Peak Everything")</f>
        <v>Peak Everything</v>
      </c>
      <c r="C937" s="21" t="str">
        <f>IFERROR(__xludf.DUMMYFUNCTION("""COMPUTED_VALUE"""),"Anne Émond")</f>
        <v>Anne Émond</v>
      </c>
      <c r="D937" s="21" t="str">
        <f>IFERROR(__xludf.DUMMYFUNCTION("""COMPUTED_VALUE"""),"2025")</f>
        <v>2025</v>
      </c>
    </row>
    <row r="938" ht="15.75" customHeight="1">
      <c r="A938" s="9">
        <v>937.0</v>
      </c>
      <c r="B938" s="21" t="str">
        <f>IFERROR(__xludf.DUMMYFUNCTION("""COMPUTED_VALUE"""),"Queens of the Dead")</f>
        <v>Queens of the Dead</v>
      </c>
      <c r="C938" s="21" t="str">
        <f>IFERROR(__xludf.DUMMYFUNCTION("""COMPUTED_VALUE"""),"Tina Romero")</f>
        <v>Tina Romero</v>
      </c>
      <c r="D938" s="21" t="str">
        <f>IFERROR(__xludf.DUMMYFUNCTION("""COMPUTED_VALUE"""),"2025")</f>
        <v>2025</v>
      </c>
    </row>
    <row r="939" ht="15.75" customHeight="1">
      <c r="A939" s="9">
        <v>938.0</v>
      </c>
      <c r="B939" s="21" t="str">
        <f>IFERROR(__xludf.DUMMYFUNCTION("""COMPUTED_VALUE"""),"Red Sonja")</f>
        <v>Red Sonja</v>
      </c>
      <c r="C939" s="21" t="str">
        <f>IFERROR(__xludf.DUMMYFUNCTION("""COMPUTED_VALUE"""),"M. J. Bassett")</f>
        <v>M. J. Bassett</v>
      </c>
      <c r="D939" s="21" t="str">
        <f>IFERROR(__xludf.DUMMYFUNCTION("""COMPUTED_VALUE"""),"2025")</f>
        <v>2025</v>
      </c>
    </row>
    <row r="940" ht="15.75" customHeight="1">
      <c r="A940" s="9">
        <v>939.0</v>
      </c>
      <c r="B940" s="21" t="str">
        <f>IFERROR(__xludf.DUMMYFUNCTION("""COMPUTED_VALUE"""),"Sound of Falling")</f>
        <v>Sound of Falling</v>
      </c>
      <c r="C940" s="21" t="str">
        <f>IFERROR(__xludf.DUMMYFUNCTION("""COMPUTED_VALUE"""),"Mascha Schilinski")</f>
        <v>Mascha Schilinski</v>
      </c>
      <c r="D940" s="21" t="str">
        <f>IFERROR(__xludf.DUMMYFUNCTION("""COMPUTED_VALUE"""),"2025")</f>
        <v>2025</v>
      </c>
    </row>
    <row r="941" ht="15.75" customHeight="1">
      <c r="A941" s="9">
        <v>940.0</v>
      </c>
      <c r="B941" s="21" t="str">
        <f>IFERROR(__xludf.DUMMYFUNCTION("""COMPUTED_VALUE"""),"The Testament of Ann Lee")</f>
        <v>The Testament of Ann Lee</v>
      </c>
      <c r="C941" s="21" t="str">
        <f>IFERROR(__xludf.DUMMYFUNCTION("""COMPUTED_VALUE"""),"Mona Fastvold")</f>
        <v>Mona Fastvold</v>
      </c>
      <c r="D941" s="21" t="str">
        <f>IFERROR(__xludf.DUMMYFUNCTION("""COMPUTED_VALUE"""),"2025")</f>
        <v>2025</v>
      </c>
    </row>
    <row r="942" ht="15.75" customHeight="1">
      <c r="A942" s="9">
        <v>941.0</v>
      </c>
      <c r="B942" s="21" t="str">
        <f>IFERROR(__xludf.DUMMYFUNCTION("""COMPUTED_VALUE"""),"Three Goodbyes")</f>
        <v>Three Goodbyes</v>
      </c>
      <c r="C942" s="21" t="str">
        <f>IFERROR(__xludf.DUMMYFUNCTION("""COMPUTED_VALUE"""),"Isabel Coixet")</f>
        <v>Isabel Coixet</v>
      </c>
      <c r="D942" s="21" t="str">
        <f>IFERROR(__xludf.DUMMYFUNCTION("""COMPUTED_VALUE"""),"2025")</f>
        <v>2025</v>
      </c>
    </row>
    <row r="943" ht="15.75" customHeight="1">
      <c r="A943" s="9">
        <v>942.0</v>
      </c>
      <c r="B943" s="21" t="str">
        <f>IFERROR(__xludf.DUMMYFUNCTION("""COMPUTED_VALUE"""),"Unidentified")</f>
        <v>Unidentified</v>
      </c>
      <c r="C943" s="21" t="str">
        <f>IFERROR(__xludf.DUMMYFUNCTION("""COMPUTED_VALUE"""),"Haifaa al-Mansour")</f>
        <v>Haifaa al-Mansour</v>
      </c>
      <c r="D943" s="21" t="str">
        <f>IFERROR(__xludf.DUMMYFUNCTION("""COMPUTED_VALUE"""),"2025")</f>
        <v>2025</v>
      </c>
    </row>
    <row r="944" ht="15.75" customHeight="1">
      <c r="A944" s="9">
        <v>943.0</v>
      </c>
      <c r="B944" s="21" t="str">
        <f>IFERROR(__xludf.DUMMYFUNCTION("""COMPUTED_VALUE"""),"The Virgin of the Quarry Lake")</f>
        <v>The Virgin of the Quarry Lake</v>
      </c>
      <c r="C944" s="21" t="str">
        <f>IFERROR(__xludf.DUMMYFUNCTION("""COMPUTED_VALUE"""),"Laura Casabé")</f>
        <v>Laura Casabé</v>
      </c>
      <c r="D944" s="21" t="str">
        <f>IFERROR(__xludf.DUMMYFUNCTION("""COMPUTED_VALUE"""),"2025")</f>
        <v>2025</v>
      </c>
    </row>
    <row r="945" ht="15.75" customHeight="1">
      <c r="A945" s="9">
        <v>944.0</v>
      </c>
      <c r="B945" s="21" t="str">
        <f>IFERROR(__xludf.DUMMYFUNCTION("""COMPUTED_VALUE"""),"Winter of the Crow")</f>
        <v>Winter of the Crow</v>
      </c>
      <c r="C945" s="21" t="str">
        <f>IFERROR(__xludf.DUMMYFUNCTION("""COMPUTED_VALUE"""),"Kasia Adamik")</f>
        <v>Kasia Adamik</v>
      </c>
      <c r="D945" s="21" t="str">
        <f>IFERROR(__xludf.DUMMYFUNCTION("""COMPUTED_VALUE"""),"2025")</f>
        <v>2025</v>
      </c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  <row r="1001" ht="15.75" customHeight="1">
      <c r="A1001" s="9"/>
    </row>
    <row r="1002" ht="15.75" customHeight="1">
      <c r="A1002" s="9"/>
    </row>
    <row r="1003" ht="15.75" customHeight="1">
      <c r="A1003" s="9"/>
    </row>
    <row r="1004" ht="15.75" customHeight="1">
      <c r="A1004" s="9"/>
    </row>
    <row r="1005" ht="15.75" customHeight="1">
      <c r="A1005" s="9"/>
    </row>
    <row r="1006" ht="15.75" customHeight="1">
      <c r="A1006" s="9"/>
    </row>
    <row r="1007" ht="15.75" customHeight="1">
      <c r="A1007" s="9"/>
    </row>
    <row r="1008" ht="15.75" customHeight="1">
      <c r="A1008" s="9"/>
    </row>
    <row r="1009" ht="15.75" customHeight="1">
      <c r="A1009" s="9"/>
    </row>
    <row r="1010" ht="15.75" customHeight="1">
      <c r="A1010" s="9"/>
    </row>
    <row r="1011" ht="15.75" customHeight="1">
      <c r="A1011" s="9"/>
    </row>
    <row r="1012" ht="15.75" customHeight="1">
      <c r="A1012" s="9"/>
    </row>
    <row r="1013" ht="15.75" customHeight="1">
      <c r="A1013" s="9"/>
    </row>
    <row r="1014" ht="15.75" customHeight="1">
      <c r="A1014" s="9"/>
    </row>
    <row r="1015" ht="15.75" customHeight="1">
      <c r="A1015" s="9"/>
    </row>
    <row r="1016" ht="15.75" customHeight="1">
      <c r="A1016" s="9"/>
    </row>
    <row r="1017" ht="15.75" customHeight="1">
      <c r="A1017" s="9"/>
    </row>
    <row r="1018" ht="15.75" customHeight="1">
      <c r="A1018" s="9"/>
    </row>
    <row r="1019" ht="15.75" customHeight="1">
      <c r="A1019" s="9"/>
    </row>
    <row r="1020" ht="15.75" customHeight="1">
      <c r="A1020" s="9"/>
    </row>
    <row r="1021" ht="15.75" customHeight="1">
      <c r="A1021" s="9"/>
    </row>
    <row r="1022" ht="15.75" customHeight="1">
      <c r="A1022" s="9"/>
    </row>
    <row r="1023" ht="15.75" customHeight="1">
      <c r="A1023" s="9"/>
    </row>
    <row r="1024" ht="15.75" customHeight="1">
      <c r="A1024" s="9"/>
    </row>
    <row r="1025" ht="15.75" customHeight="1">
      <c r="A1025" s="9"/>
    </row>
    <row r="1026" ht="15.75" customHeight="1">
      <c r="A1026" s="9"/>
    </row>
    <row r="1027" ht="15.75" customHeight="1">
      <c r="A1027" s="9"/>
    </row>
    <row r="1028" ht="15.75" customHeight="1">
      <c r="A1028" s="9"/>
    </row>
    <row r="1029" ht="15.75" customHeight="1">
      <c r="A1029" s="9"/>
    </row>
    <row r="1030" ht="15.75" customHeight="1">
      <c r="A1030" s="9"/>
    </row>
    <row r="1031" ht="15.75" customHeight="1">
      <c r="A1031" s="9"/>
    </row>
    <row r="1032" ht="15.75" customHeight="1">
      <c r="A1032" s="9"/>
    </row>
    <row r="1033" ht="15.75" customHeight="1">
      <c r="A1033" s="9"/>
    </row>
    <row r="1034" ht="15.75" customHeight="1">
      <c r="A1034" s="9"/>
    </row>
    <row r="1035" ht="15.75" customHeight="1">
      <c r="A1035" s="9"/>
    </row>
    <row r="1036" ht="15.75" customHeight="1">
      <c r="A1036" s="9"/>
    </row>
    <row r="1037" ht="15.75" customHeight="1">
      <c r="A1037" s="9"/>
    </row>
    <row r="1038" ht="15.75" customHeight="1">
      <c r="A1038" s="9"/>
    </row>
    <row r="1039" ht="15.75" customHeight="1">
      <c r="A1039" s="9"/>
    </row>
    <row r="1040" ht="15.75" customHeight="1">
      <c r="A1040" s="9"/>
    </row>
    <row r="1041" ht="15.75" customHeight="1">
      <c r="A1041" s="9"/>
    </row>
    <row r="1042" ht="15.75" customHeight="1">
      <c r="A1042" s="9"/>
    </row>
    <row r="1043" ht="15.75" customHeight="1">
      <c r="A1043" s="9"/>
    </row>
    <row r="1044" ht="15.75" customHeight="1">
      <c r="A1044" s="9"/>
    </row>
    <row r="1045" ht="15.75" customHeight="1">
      <c r="A1045" s="9"/>
    </row>
    <row r="1046" ht="15.75" customHeight="1">
      <c r="A1046" s="9"/>
    </row>
    <row r="1047" ht="15.75" customHeight="1">
      <c r="A1047" s="9"/>
    </row>
    <row r="1048" ht="15.75" customHeight="1">
      <c r="A1048" s="9"/>
    </row>
    <row r="1049" ht="15.75" customHeight="1">
      <c r="A1049" s="9"/>
    </row>
    <row r="1050" ht="15.75" customHeight="1">
      <c r="A1050" s="9"/>
    </row>
    <row r="1051" ht="15.75" customHeight="1">
      <c r="A1051" s="9"/>
    </row>
    <row r="1052" ht="15.75" customHeight="1">
      <c r="A1052" s="9"/>
    </row>
    <row r="1053" ht="15.75" customHeight="1">
      <c r="A1053" s="9"/>
    </row>
    <row r="1054" ht="15.75" customHeight="1">
      <c r="A1054" s="9"/>
    </row>
    <row r="1055" ht="15.75" customHeight="1">
      <c r="A1055" s="9"/>
    </row>
    <row r="1056" ht="15.75" customHeight="1">
      <c r="A1056" s="9"/>
    </row>
    <row r="1057" ht="15.75" customHeight="1">
      <c r="A1057" s="9"/>
    </row>
    <row r="1058" ht="15.75" customHeight="1">
      <c r="A1058" s="9"/>
    </row>
    <row r="1059" ht="15.75" customHeight="1">
      <c r="A1059" s="9"/>
    </row>
    <row r="1060" ht="15.75" customHeight="1">
      <c r="A1060" s="9"/>
    </row>
    <row r="1061" ht="15.75" customHeight="1">
      <c r="A1061" s="9"/>
    </row>
    <row r="1062" ht="15.75" customHeight="1">
      <c r="A1062" s="9"/>
    </row>
    <row r="1063" ht="15.75" customHeight="1">
      <c r="A1063" s="9"/>
    </row>
    <row r="1064" ht="15.75" customHeight="1">
      <c r="A1064" s="9"/>
    </row>
    <row r="1065" ht="15.75" customHeight="1">
      <c r="A1065" s="9"/>
    </row>
    <row r="1066" ht="15.75" customHeight="1">
      <c r="A1066" s="9"/>
    </row>
    <row r="1067" ht="15.75" customHeight="1">
      <c r="A1067" s="9"/>
    </row>
    <row r="1068" ht="15.75" customHeight="1">
      <c r="A1068" s="9"/>
    </row>
    <row r="1069" ht="15.75" customHeight="1">
      <c r="A1069" s="9"/>
    </row>
    <row r="1070" ht="15.75" customHeight="1">
      <c r="A1070" s="9"/>
    </row>
    <row r="1071" ht="15.75" customHeight="1">
      <c r="A1071" s="9"/>
    </row>
    <row r="1072" ht="15.75" customHeight="1">
      <c r="A1072" s="9"/>
    </row>
    <row r="1073" ht="15.75" customHeight="1">
      <c r="A1073" s="9"/>
    </row>
    <row r="1074" ht="15.75" customHeight="1">
      <c r="A1074" s="9"/>
    </row>
    <row r="1075" ht="15.75" customHeight="1">
      <c r="A1075" s="9"/>
    </row>
    <row r="1076" ht="15.75" customHeight="1">
      <c r="A1076" s="9"/>
    </row>
    <row r="1077" ht="15.75" customHeight="1">
      <c r="A1077" s="9"/>
    </row>
    <row r="1078" ht="15.75" customHeight="1">
      <c r="A1078" s="9"/>
    </row>
    <row r="1079" ht="15.75" customHeight="1">
      <c r="A1079" s="9"/>
    </row>
    <row r="1080" ht="15.75" customHeight="1">
      <c r="A1080" s="9"/>
    </row>
    <row r="1081" ht="15.75" customHeight="1">
      <c r="A1081" s="9"/>
    </row>
    <row r="1082" ht="15.75" customHeight="1">
      <c r="A1082" s="9"/>
    </row>
    <row r="1083" ht="15.75" customHeight="1">
      <c r="A1083" s="9"/>
    </row>
    <row r="1084" ht="15.75" customHeight="1">
      <c r="A1084" s="9"/>
    </row>
    <row r="1085" ht="15.75" customHeight="1">
      <c r="A1085" s="9"/>
    </row>
    <row r="1086" ht="15.75" customHeight="1">
      <c r="A1086" s="9"/>
    </row>
    <row r="1087" ht="15.75" customHeight="1">
      <c r="A1087" s="9"/>
    </row>
    <row r="1088" ht="15.75" customHeight="1">
      <c r="A1088" s="9"/>
    </row>
    <row r="1089" ht="15.75" customHeight="1">
      <c r="A1089" s="9"/>
    </row>
    <row r="1090" ht="15.75" customHeight="1">
      <c r="A1090" s="9"/>
    </row>
    <row r="1091" ht="15.75" customHeight="1">
      <c r="A1091" s="9"/>
    </row>
    <row r="1092" ht="15.75" customHeight="1">
      <c r="A1092" s="9"/>
    </row>
    <row r="1093" ht="15.75" customHeight="1">
      <c r="A1093" s="9"/>
    </row>
    <row r="1094" ht="15.75" customHeight="1">
      <c r="A1094" s="9"/>
    </row>
    <row r="1095" ht="15.75" customHeight="1">
      <c r="A1095" s="9"/>
    </row>
    <row r="1096" ht="15.75" customHeight="1">
      <c r="A1096" s="9"/>
    </row>
    <row r="1097" ht="15.75" customHeight="1">
      <c r="A1097" s="9"/>
    </row>
    <row r="1098" ht="15.75" customHeight="1">
      <c r="A1098" s="9"/>
    </row>
    <row r="1099" ht="15.75" customHeight="1">
      <c r="A1099" s="9"/>
    </row>
    <row r="1100" ht="15.75" customHeight="1">
      <c r="A1100" s="9"/>
    </row>
    <row r="1101" ht="15.75" customHeight="1">
      <c r="A1101" s="9"/>
    </row>
    <row r="1102" ht="15.75" customHeight="1">
      <c r="A1102" s="9"/>
    </row>
    <row r="1103" ht="15.75" customHeight="1">
      <c r="A1103" s="9"/>
    </row>
    <row r="1104" ht="15.75" customHeight="1">
      <c r="A1104" s="9"/>
    </row>
    <row r="1105" ht="15.75" customHeight="1">
      <c r="A1105" s="9"/>
    </row>
    <row r="1106" ht="15.75" customHeight="1">
      <c r="A1106" s="9"/>
    </row>
    <row r="1107" ht="15.75" customHeight="1">
      <c r="A1107" s="9"/>
    </row>
    <row r="1108" ht="15.75" customHeight="1">
      <c r="A1108" s="9"/>
    </row>
    <row r="1109" ht="15.75" customHeight="1">
      <c r="A1109" s="9"/>
    </row>
    <row r="1110" ht="15.75" customHeight="1">
      <c r="A1110" s="9"/>
    </row>
    <row r="1111" ht="15.75" customHeight="1">
      <c r="A1111" s="9"/>
    </row>
    <row r="1112" ht="15.75" customHeight="1">
      <c r="A1112" s="9"/>
    </row>
    <row r="1113" ht="15.75" customHeight="1">
      <c r="A1113" s="9"/>
    </row>
    <row r="1114" ht="15.75" customHeight="1">
      <c r="A1114" s="9"/>
    </row>
    <row r="1115" ht="15.75" customHeight="1">
      <c r="A1115" s="9"/>
    </row>
    <row r="1116" ht="15.75" customHeight="1">
      <c r="A1116" s="9"/>
    </row>
    <row r="1117" ht="15.75" customHeight="1">
      <c r="A1117" s="9"/>
    </row>
    <row r="1118" ht="15.75" customHeight="1">
      <c r="A1118" s="9"/>
    </row>
    <row r="1119" ht="15.75" customHeight="1">
      <c r="A1119" s="9"/>
    </row>
    <row r="1120" ht="15.75" customHeight="1">
      <c r="A1120" s="9"/>
    </row>
    <row r="1121" ht="15.75" customHeight="1">
      <c r="A1121" s="9"/>
    </row>
    <row r="1122" ht="15.75" customHeight="1">
      <c r="A1122" s="9"/>
    </row>
    <row r="1123" ht="15.75" customHeight="1">
      <c r="A1123" s="9"/>
    </row>
    <row r="1124" ht="15.75" customHeight="1">
      <c r="A1124" s="9"/>
    </row>
    <row r="1125" ht="15.75" customHeight="1">
      <c r="A1125" s="9"/>
    </row>
    <row r="1126" ht="15.75" customHeight="1">
      <c r="A1126" s="9"/>
    </row>
    <row r="1127" ht="15.75" customHeight="1">
      <c r="A1127" s="9"/>
    </row>
    <row r="1128" ht="15.75" customHeight="1">
      <c r="A1128" s="9"/>
    </row>
    <row r="1129" ht="15.75" customHeight="1">
      <c r="A1129" s="9"/>
    </row>
    <row r="1130" ht="15.75" customHeight="1">
      <c r="A1130" s="9"/>
    </row>
    <row r="1131" ht="15.75" customHeight="1">
      <c r="A1131" s="9"/>
    </row>
    <row r="1132" ht="15.75" customHeight="1">
      <c r="A1132" s="9"/>
    </row>
    <row r="1133" ht="15.75" customHeight="1">
      <c r="A1133" s="9"/>
    </row>
    <row r="1134" ht="15.75" customHeight="1">
      <c r="A1134" s="9"/>
    </row>
    <row r="1135" ht="15.75" customHeight="1">
      <c r="A1135" s="9"/>
    </row>
    <row r="1136" ht="15.75" customHeight="1">
      <c r="A1136" s="9"/>
    </row>
    <row r="1137" ht="15.75" customHeight="1">
      <c r="A1137" s="9"/>
    </row>
    <row r="1138" ht="15.75" customHeight="1">
      <c r="A1138" s="9"/>
    </row>
    <row r="1139" ht="15.75" customHeight="1">
      <c r="A1139" s="9"/>
    </row>
    <row r="1140" ht="15.75" customHeight="1">
      <c r="A1140" s="9"/>
    </row>
    <row r="1141" ht="15.75" customHeight="1">
      <c r="A1141" s="9"/>
    </row>
    <row r="1142" ht="15.75" customHeight="1">
      <c r="A1142" s="9"/>
    </row>
    <row r="1143" ht="15.75" customHeight="1">
      <c r="A1143" s="9"/>
    </row>
    <row r="1144" ht="15.75" customHeight="1">
      <c r="A1144" s="9"/>
    </row>
    <row r="1145" ht="15.75" customHeight="1">
      <c r="A1145" s="9"/>
    </row>
    <row r="1146" ht="15.75" customHeight="1">
      <c r="A1146" s="9"/>
    </row>
    <row r="1147" ht="15.75" customHeight="1">
      <c r="A1147" s="9"/>
    </row>
    <row r="1148" ht="15.75" customHeight="1">
      <c r="A1148" s="9"/>
    </row>
    <row r="1149" ht="15.75" customHeight="1">
      <c r="A1149" s="9"/>
    </row>
    <row r="1150" ht="15.75" customHeight="1">
      <c r="A1150" s="9"/>
    </row>
    <row r="1151" ht="15.75" customHeight="1">
      <c r="A1151" s="9"/>
    </row>
    <row r="1152" ht="15.75" customHeight="1">
      <c r="A1152" s="9"/>
    </row>
    <row r="1153" ht="15.75" customHeight="1">
      <c r="A1153" s="9"/>
    </row>
    <row r="1154" ht="15.75" customHeight="1">
      <c r="A1154" s="9"/>
    </row>
    <row r="1155" ht="15.75" customHeight="1">
      <c r="A1155" s="9"/>
    </row>
    <row r="1156" ht="15.75" customHeight="1">
      <c r="A1156" s="9"/>
    </row>
    <row r="1157" ht="15.75" customHeight="1">
      <c r="A1157" s="9"/>
    </row>
    <row r="1158" ht="15.75" customHeight="1">
      <c r="A1158" s="9"/>
    </row>
    <row r="1159" ht="15.75" customHeight="1">
      <c r="A1159" s="9"/>
    </row>
    <row r="1160" ht="15.75" customHeight="1">
      <c r="A1160" s="9"/>
    </row>
    <row r="1161" ht="15.75" customHeight="1">
      <c r="A1161" s="9"/>
    </row>
    <row r="1162" ht="15.75" customHeight="1">
      <c r="A1162" s="9"/>
    </row>
    <row r="1163" ht="15.75" customHeight="1">
      <c r="A1163" s="9"/>
    </row>
    <row r="1164" ht="15.75" customHeight="1">
      <c r="A1164" s="9"/>
    </row>
    <row r="1165" ht="15.75" customHeight="1">
      <c r="A1165" s="9"/>
    </row>
    <row r="1166" ht="15.75" customHeight="1">
      <c r="A1166" s="9"/>
    </row>
    <row r="1167" ht="15.75" customHeight="1">
      <c r="A1167" s="9"/>
    </row>
    <row r="1168" ht="15.75" customHeight="1">
      <c r="A1168" s="9"/>
    </row>
    <row r="1169" ht="15.75" customHeight="1">
      <c r="A1169" s="9"/>
    </row>
    <row r="1170" ht="15.75" customHeight="1">
      <c r="A1170" s="9"/>
    </row>
    <row r="1171" ht="15.75" customHeight="1">
      <c r="A1171" s="9"/>
    </row>
    <row r="1172" ht="15.75" customHeight="1">
      <c r="A1172" s="9"/>
    </row>
    <row r="1173" ht="15.75" customHeight="1">
      <c r="A1173" s="9"/>
    </row>
    <row r="1174" ht="15.75" customHeight="1">
      <c r="A1174" s="9"/>
    </row>
    <row r="1175" ht="15.75" customHeight="1">
      <c r="A1175" s="9"/>
    </row>
    <row r="1176" ht="15.75" customHeight="1">
      <c r="A1176" s="9"/>
    </row>
    <row r="1177" ht="15.75" customHeight="1">
      <c r="A1177" s="9"/>
    </row>
    <row r="1178" ht="15.75" customHeight="1">
      <c r="A1178" s="9"/>
    </row>
    <row r="1179" ht="15.75" customHeight="1">
      <c r="A1179" s="9"/>
    </row>
    <row r="1180" ht="15.75" customHeight="1">
      <c r="A1180" s="9"/>
    </row>
    <row r="1181" ht="15.75" customHeight="1">
      <c r="A1181" s="9"/>
    </row>
    <row r="1182" ht="15.75" customHeight="1">
      <c r="A1182" s="9"/>
    </row>
    <row r="1183" ht="15.75" customHeight="1">
      <c r="A1183" s="9"/>
    </row>
    <row r="1184" ht="15.75" customHeight="1">
      <c r="A1184" s="9"/>
    </row>
    <row r="1185" ht="15.75" customHeight="1">
      <c r="A1185" s="9"/>
    </row>
    <row r="1186" ht="15.75" customHeight="1">
      <c r="A1186" s="9"/>
    </row>
    <row r="1187" ht="15.75" customHeight="1">
      <c r="A1187" s="9"/>
    </row>
    <row r="1188" ht="15.75" customHeight="1">
      <c r="A1188" s="9"/>
    </row>
    <row r="1189" ht="15.75" customHeight="1">
      <c r="A1189" s="9"/>
    </row>
    <row r="1190" ht="15.75" customHeight="1">
      <c r="A1190" s="9"/>
    </row>
    <row r="1191" ht="15.75" customHeight="1">
      <c r="A1191" s="9"/>
    </row>
    <row r="1192" ht="15.75" customHeight="1">
      <c r="A1192" s="9"/>
    </row>
    <row r="1193" ht="15.75" customHeight="1">
      <c r="A1193" s="9"/>
    </row>
    <row r="1194" ht="15.75" customHeight="1">
      <c r="A1194" s="9"/>
    </row>
    <row r="1195" ht="15.75" customHeight="1">
      <c r="A1195" s="9"/>
    </row>
    <row r="1196" ht="15.75" customHeight="1">
      <c r="A1196" s="9"/>
    </row>
    <row r="1197" ht="15.75" customHeight="1">
      <c r="A1197" s="9"/>
    </row>
    <row r="1198" ht="15.75" customHeight="1">
      <c r="A1198" s="9"/>
    </row>
    <row r="1199" ht="15.75" customHeight="1">
      <c r="A1199" s="9"/>
    </row>
    <row r="1200" ht="15.75" customHeight="1">
      <c r="A1200" s="9"/>
    </row>
    <row r="1201" ht="15.75" customHeight="1">
      <c r="A1201" s="9"/>
    </row>
    <row r="1202" ht="15.75" customHeight="1">
      <c r="A1202" s="9"/>
    </row>
    <row r="1203" ht="15.75" customHeight="1">
      <c r="A1203" s="9"/>
    </row>
    <row r="1204" ht="15.75" customHeight="1">
      <c r="A1204" s="9"/>
    </row>
    <row r="1205" ht="15.75" customHeight="1">
      <c r="A1205" s="9"/>
    </row>
    <row r="1206" ht="15.75" customHeight="1">
      <c r="A1206" s="9"/>
    </row>
    <row r="1207" ht="15.75" customHeight="1">
      <c r="A1207" s="9"/>
    </row>
    <row r="1208" ht="15.75" customHeight="1">
      <c r="A1208" s="9"/>
    </row>
    <row r="1209" ht="15.75" customHeight="1">
      <c r="A1209" s="9"/>
    </row>
    <row r="1210" ht="15.75" customHeight="1">
      <c r="A1210" s="9"/>
    </row>
    <row r="1211" ht="15.75" customHeight="1">
      <c r="A1211" s="9"/>
    </row>
    <row r="1212" ht="15.75" customHeight="1">
      <c r="A1212" s="9"/>
    </row>
    <row r="1213" ht="15.75" customHeight="1">
      <c r="A1213" s="9"/>
    </row>
    <row r="1214" ht="15.75" customHeight="1">
      <c r="A1214" s="9"/>
    </row>
    <row r="1215" ht="15.75" customHeight="1">
      <c r="A1215" s="9"/>
    </row>
    <row r="1216" ht="15.75" customHeight="1">
      <c r="A1216" s="9"/>
    </row>
    <row r="1217" ht="15.75" customHeight="1">
      <c r="A1217" s="9"/>
    </row>
    <row r="1218" ht="15.75" customHeight="1">
      <c r="A1218" s="9"/>
    </row>
    <row r="1219" ht="15.75" customHeight="1">
      <c r="A1219" s="9"/>
    </row>
    <row r="1220" ht="15.75" customHeight="1">
      <c r="A1220" s="9"/>
    </row>
    <row r="1221" ht="15.75" customHeight="1">
      <c r="A1221" s="9"/>
    </row>
    <row r="1222" ht="15.75" customHeight="1">
      <c r="A1222" s="9"/>
    </row>
    <row r="1223" ht="15.75" customHeight="1">
      <c r="A1223" s="9"/>
    </row>
    <row r="1224" ht="15.75" customHeight="1">
      <c r="A1224" s="9"/>
    </row>
    <row r="1225" ht="15.75" customHeight="1">
      <c r="A1225" s="9"/>
    </row>
    <row r="1226" ht="15.75" customHeight="1">
      <c r="A1226" s="9"/>
    </row>
    <row r="1227" ht="15.75" customHeight="1">
      <c r="A1227" s="9"/>
    </row>
    <row r="1228" ht="15.75" customHeight="1">
      <c r="A1228" s="9"/>
    </row>
    <row r="1229" ht="15.75" customHeight="1">
      <c r="A1229" s="9"/>
    </row>
    <row r="1230" ht="15.75" customHeight="1">
      <c r="A1230" s="9"/>
    </row>
    <row r="1231" ht="15.75" customHeight="1">
      <c r="A1231" s="9"/>
    </row>
    <row r="1232" ht="15.75" customHeight="1">
      <c r="A1232" s="9"/>
    </row>
    <row r="1233" ht="15.75" customHeight="1">
      <c r="A1233" s="9"/>
    </row>
    <row r="1234" ht="15.75" customHeight="1">
      <c r="A1234" s="9"/>
    </row>
    <row r="1235" ht="15.75" customHeight="1">
      <c r="A1235" s="9"/>
    </row>
    <row r="1236" ht="15.75" customHeight="1">
      <c r="A1236" s="9"/>
    </row>
    <row r="1237" ht="15.75" customHeight="1">
      <c r="A1237" s="9"/>
    </row>
    <row r="1238" ht="15.75" customHeight="1">
      <c r="A1238" s="9"/>
    </row>
    <row r="1239" ht="15.75" customHeight="1">
      <c r="A1239" s="9"/>
    </row>
    <row r="1240" ht="15.75" customHeight="1">
      <c r="A1240" s="9"/>
    </row>
    <row r="1241" ht="15.75" customHeight="1">
      <c r="A1241" s="9"/>
    </row>
    <row r="1242" ht="15.75" customHeight="1">
      <c r="A1242" s="9"/>
    </row>
    <row r="1243" ht="15.75" customHeight="1">
      <c r="A1243" s="9"/>
    </row>
    <row r="1244" ht="15.75" customHeight="1">
      <c r="A1244" s="9"/>
    </row>
    <row r="1245" ht="15.75" customHeight="1">
      <c r="A1245" s="9"/>
    </row>
    <row r="1246" ht="15.75" customHeight="1">
      <c r="A1246" s="9"/>
    </row>
    <row r="1247" ht="15.75" customHeight="1">
      <c r="A1247" s="9"/>
    </row>
    <row r="1248" ht="15.75" customHeight="1">
      <c r="A1248" s="9"/>
    </row>
    <row r="1249" ht="15.75" customHeight="1">
      <c r="A1249" s="9"/>
    </row>
    <row r="1250" ht="15.75" customHeight="1">
      <c r="A1250" s="9"/>
    </row>
    <row r="1251" ht="15.75" customHeight="1">
      <c r="A1251" s="9"/>
    </row>
    <row r="1252" ht="15.75" customHeight="1">
      <c r="A1252" s="9"/>
    </row>
    <row r="1253" ht="15.75" customHeight="1">
      <c r="A1253" s="9"/>
    </row>
    <row r="1254" ht="15.75" customHeight="1">
      <c r="A1254" s="9"/>
    </row>
    <row r="1255" ht="15.75" customHeight="1">
      <c r="A1255" s="9"/>
    </row>
    <row r="1256" ht="15.75" customHeight="1">
      <c r="A1256" s="9"/>
    </row>
    <row r="1257" ht="15.75" customHeight="1">
      <c r="A1257" s="9"/>
    </row>
    <row r="1258" ht="15.75" customHeight="1">
      <c r="A1258" s="9"/>
    </row>
    <row r="1259" ht="15.75" customHeight="1">
      <c r="A1259" s="9"/>
    </row>
    <row r="1260" ht="15.75" customHeight="1">
      <c r="A1260" s="9"/>
    </row>
    <row r="1261" ht="15.75" customHeight="1">
      <c r="A1261" s="9"/>
    </row>
    <row r="1262" ht="15.75" customHeight="1">
      <c r="A1262" s="9"/>
    </row>
    <row r="1263" ht="15.75" customHeight="1">
      <c r="A1263" s="9"/>
    </row>
    <row r="1264" ht="15.75" customHeight="1">
      <c r="A1264" s="9"/>
    </row>
    <row r="1265" ht="15.75" customHeight="1">
      <c r="A1265" s="9"/>
    </row>
    <row r="1266" ht="15.75" customHeight="1">
      <c r="A1266" s="9"/>
    </row>
    <row r="1267" ht="15.75" customHeight="1">
      <c r="A1267" s="9"/>
    </row>
    <row r="1268" ht="15.75" customHeight="1">
      <c r="A1268" s="9"/>
    </row>
    <row r="1269" ht="15.75" customHeight="1">
      <c r="A1269" s="9"/>
    </row>
    <row r="1270" ht="15.75" customHeight="1">
      <c r="A1270" s="9"/>
    </row>
    <row r="1271" ht="15.75" customHeight="1">
      <c r="A1271" s="9"/>
    </row>
    <row r="1272" ht="15.75" customHeight="1">
      <c r="A1272" s="9"/>
    </row>
    <row r="1273" ht="15.75" customHeight="1">
      <c r="A1273" s="9"/>
    </row>
    <row r="1274" ht="15.75" customHeight="1">
      <c r="A1274" s="9"/>
    </row>
    <row r="1275" ht="15.75" customHeight="1">
      <c r="A1275" s="9"/>
    </row>
    <row r="1276" ht="15.75" customHeight="1">
      <c r="A1276" s="9"/>
    </row>
    <row r="1277" ht="15.75" customHeight="1">
      <c r="A1277" s="9"/>
    </row>
    <row r="1278" ht="15.75" customHeight="1">
      <c r="A1278" s="9"/>
    </row>
    <row r="1279" ht="15.75" customHeight="1">
      <c r="A1279" s="9"/>
    </row>
    <row r="1280" ht="15.75" customHeight="1">
      <c r="A1280" s="9"/>
    </row>
    <row r="1281" ht="15.75" customHeight="1">
      <c r="A1281" s="9"/>
    </row>
    <row r="1282" ht="15.75" customHeight="1">
      <c r="A1282" s="9"/>
    </row>
    <row r="1283" ht="15.75" customHeight="1">
      <c r="A1283" s="9"/>
    </row>
    <row r="1284" ht="15.75" customHeight="1">
      <c r="A1284" s="9"/>
    </row>
    <row r="1285" ht="15.75" customHeight="1">
      <c r="A1285" s="9"/>
    </row>
    <row r="1286" ht="15.75" customHeight="1">
      <c r="A1286" s="9"/>
    </row>
    <row r="1287" ht="15.75" customHeight="1">
      <c r="A1287" s="9"/>
    </row>
    <row r="1288" ht="15.75" customHeight="1">
      <c r="A1288" s="9"/>
    </row>
    <row r="1289" ht="15.75" customHeight="1">
      <c r="A1289" s="9"/>
    </row>
    <row r="1290" ht="15.75" customHeight="1">
      <c r="A1290" s="9"/>
    </row>
    <row r="1291" ht="15.75" customHeight="1">
      <c r="A1291" s="9"/>
    </row>
    <row r="1292" ht="15.75" customHeight="1">
      <c r="A1292" s="9"/>
    </row>
    <row r="1293" ht="15.75" customHeight="1">
      <c r="A1293" s="9"/>
    </row>
    <row r="1294" ht="15.75" customHeight="1">
      <c r="A1294" s="9"/>
    </row>
    <row r="1295" ht="15.75" customHeight="1">
      <c r="A1295" s="9"/>
    </row>
    <row r="1296" ht="15.75" customHeight="1">
      <c r="A1296" s="9"/>
    </row>
    <row r="1297" ht="15.75" customHeight="1">
      <c r="A1297" s="9"/>
    </row>
    <row r="1298" ht="15.75" customHeight="1">
      <c r="A1298" s="9"/>
    </row>
    <row r="1299" ht="15.75" customHeight="1">
      <c r="A1299" s="9"/>
    </row>
    <row r="1300" ht="15.75" customHeight="1">
      <c r="A1300" s="9"/>
    </row>
    <row r="1301" ht="15.75" customHeight="1">
      <c r="A1301" s="9"/>
    </row>
    <row r="1302" ht="15.75" customHeight="1">
      <c r="A1302" s="9"/>
    </row>
    <row r="1303" ht="15.75" customHeight="1">
      <c r="A1303" s="9"/>
    </row>
    <row r="1304" ht="15.75" customHeight="1">
      <c r="A1304" s="9"/>
    </row>
    <row r="1305" ht="15.75" customHeight="1">
      <c r="A1305" s="9"/>
    </row>
    <row r="1306" ht="15.75" customHeight="1">
      <c r="A1306" s="9"/>
    </row>
    <row r="1307" ht="15.75" customHeight="1">
      <c r="A1307" s="9"/>
    </row>
    <row r="1308" ht="15.75" customHeight="1">
      <c r="A1308" s="9"/>
    </row>
    <row r="1309" ht="15.75" customHeight="1">
      <c r="A1309" s="9"/>
    </row>
    <row r="1310" ht="15.75" customHeight="1">
      <c r="A1310" s="9"/>
    </row>
    <row r="1311" ht="15.75" customHeight="1">
      <c r="A1311" s="9"/>
    </row>
    <row r="1312" ht="15.75" customHeight="1">
      <c r="A1312" s="9"/>
    </row>
    <row r="1313" ht="15.75" customHeight="1">
      <c r="A1313" s="9"/>
    </row>
    <row r="1314" ht="15.75" customHeight="1">
      <c r="A1314" s="9"/>
    </row>
    <row r="1315" ht="15.75" customHeight="1">
      <c r="A1315" s="9"/>
    </row>
    <row r="1316" ht="15.75" customHeight="1">
      <c r="A1316" s="9"/>
    </row>
    <row r="1317" ht="15.75" customHeight="1">
      <c r="A1317" s="9"/>
    </row>
    <row r="1318" ht="15.75" customHeight="1">
      <c r="A1318" s="9"/>
    </row>
    <row r="1319" ht="15.75" customHeight="1">
      <c r="A1319" s="9"/>
    </row>
    <row r="1320" ht="15.75" customHeight="1">
      <c r="A1320" s="9"/>
    </row>
    <row r="1321" ht="15.75" customHeight="1">
      <c r="A1321" s="9"/>
    </row>
    <row r="1322" ht="15.75" customHeight="1">
      <c r="A1322" s="9"/>
    </row>
    <row r="1323" ht="15.75" customHeight="1">
      <c r="A1323" s="9"/>
    </row>
    <row r="1324" ht="15.75" customHeight="1">
      <c r="A1324" s="9"/>
    </row>
    <row r="1325" ht="15.75" customHeight="1">
      <c r="A1325" s="9"/>
    </row>
    <row r="1326" ht="15.75" customHeight="1">
      <c r="A1326" s="9"/>
    </row>
    <row r="1327" ht="15.75" customHeight="1">
      <c r="A1327" s="9"/>
    </row>
    <row r="1328" ht="15.75" customHeight="1">
      <c r="A1328" s="9"/>
    </row>
    <row r="1329" ht="15.75" customHeight="1">
      <c r="A1329" s="9"/>
    </row>
    <row r="1330" ht="15.75" customHeight="1">
      <c r="A1330" s="9"/>
    </row>
    <row r="1331" ht="15.75" customHeight="1">
      <c r="A1331" s="9"/>
    </row>
    <row r="1332" ht="15.75" customHeight="1">
      <c r="A1332" s="9"/>
    </row>
    <row r="1333" ht="15.75" customHeight="1">
      <c r="A1333" s="9"/>
    </row>
    <row r="1334" ht="15.75" customHeight="1">
      <c r="A1334" s="9"/>
    </row>
    <row r="1335" ht="15.75" customHeight="1">
      <c r="A1335" s="9"/>
    </row>
    <row r="1336" ht="15.75" customHeight="1">
      <c r="A1336" s="9"/>
    </row>
    <row r="1337" ht="15.75" customHeight="1">
      <c r="A1337" s="9"/>
    </row>
    <row r="1338" ht="15.75" customHeight="1">
      <c r="A1338" s="9"/>
    </row>
    <row r="1339" ht="15.75" customHeight="1">
      <c r="A1339" s="9"/>
    </row>
    <row r="1340" ht="15.75" customHeight="1">
      <c r="A1340" s="9"/>
    </row>
    <row r="1341" ht="15.75" customHeight="1">
      <c r="A1341" s="9"/>
    </row>
    <row r="1342" ht="15.75" customHeight="1">
      <c r="A1342" s="9"/>
    </row>
    <row r="1343" ht="15.75" customHeight="1">
      <c r="A1343" s="9"/>
    </row>
    <row r="1344" ht="15.75" customHeight="1">
      <c r="A1344" s="9"/>
    </row>
    <row r="1345" ht="15.75" customHeight="1">
      <c r="A1345" s="9"/>
    </row>
    <row r="1346" ht="15.75" customHeight="1">
      <c r="A1346" s="9"/>
    </row>
    <row r="1347" ht="15.75" customHeight="1">
      <c r="A1347" s="9"/>
    </row>
    <row r="1348" ht="15.75" customHeight="1">
      <c r="A1348" s="9"/>
    </row>
    <row r="1349" ht="15.75" customHeight="1">
      <c r="A1349" s="9"/>
    </row>
    <row r="1350" ht="15.75" customHeight="1">
      <c r="A1350" s="9"/>
    </row>
    <row r="1351" ht="15.75" customHeight="1">
      <c r="A1351" s="9"/>
    </row>
    <row r="1352" ht="15.75" customHeight="1">
      <c r="A1352" s="9"/>
    </row>
    <row r="1353" ht="15.75" customHeight="1">
      <c r="A1353" s="9"/>
    </row>
    <row r="1354" ht="15.75" customHeight="1">
      <c r="A1354" s="9"/>
    </row>
    <row r="1355" ht="15.75" customHeight="1">
      <c r="A1355" s="9"/>
    </row>
    <row r="1356" ht="15.75" customHeight="1">
      <c r="A1356" s="9"/>
    </row>
    <row r="1357" ht="15.75" customHeight="1">
      <c r="A1357" s="9"/>
    </row>
    <row r="1358" ht="15.75" customHeight="1">
      <c r="A1358" s="9"/>
    </row>
    <row r="1359" ht="15.75" customHeight="1">
      <c r="A1359" s="9"/>
    </row>
    <row r="1360" ht="15.75" customHeight="1">
      <c r="A1360" s="9"/>
    </row>
    <row r="1361" ht="15.75" customHeight="1">
      <c r="A1361" s="9"/>
    </row>
    <row r="1362" ht="15.75" customHeight="1">
      <c r="A1362" s="9"/>
    </row>
    <row r="1363" ht="15.75" customHeight="1">
      <c r="A1363" s="9"/>
    </row>
    <row r="1364" ht="15.75" customHeight="1">
      <c r="A1364" s="9"/>
    </row>
    <row r="1365" ht="15.75" customHeight="1">
      <c r="A1365" s="9"/>
    </row>
    <row r="1366" ht="15.75" customHeight="1">
      <c r="A1366" s="9"/>
    </row>
    <row r="1367" ht="15.75" customHeight="1">
      <c r="A1367" s="9"/>
    </row>
    <row r="1368" ht="15.75" customHeight="1">
      <c r="A1368" s="9"/>
    </row>
    <row r="1369" ht="15.75" customHeight="1">
      <c r="A1369" s="9"/>
    </row>
    <row r="1370" ht="15.75" customHeight="1">
      <c r="A1370" s="9"/>
    </row>
    <row r="1371" ht="15.75" customHeight="1">
      <c r="A1371" s="9"/>
    </row>
    <row r="1372" ht="15.75" customHeight="1">
      <c r="A1372" s="9"/>
    </row>
    <row r="1373" ht="15.75" customHeight="1">
      <c r="A1373" s="9"/>
    </row>
    <row r="1374" ht="15.75" customHeight="1">
      <c r="A1374" s="9"/>
    </row>
    <row r="1375" ht="15.75" customHeight="1">
      <c r="A1375" s="9"/>
    </row>
    <row r="1376" ht="15.75" customHeight="1">
      <c r="A1376" s="9"/>
    </row>
    <row r="1377" ht="15.75" customHeight="1">
      <c r="A1377" s="9"/>
    </row>
    <row r="1378" ht="15.75" customHeight="1">
      <c r="A1378" s="9"/>
    </row>
    <row r="1379" ht="15.75" customHeight="1">
      <c r="A1379" s="9"/>
    </row>
    <row r="1380" ht="15.75" customHeight="1">
      <c r="A1380" s="9"/>
    </row>
    <row r="1381" ht="15.75" customHeight="1">
      <c r="A1381" s="9"/>
    </row>
    <row r="1382" ht="15.75" customHeight="1">
      <c r="A1382" s="9"/>
    </row>
    <row r="1383" ht="15.75" customHeight="1">
      <c r="A1383" s="9"/>
    </row>
    <row r="1384" ht="15.75" customHeight="1">
      <c r="A1384" s="9"/>
    </row>
    <row r="1385" ht="15.75" customHeight="1">
      <c r="A1385" s="9"/>
    </row>
    <row r="1386" ht="15.75" customHeight="1">
      <c r="A1386" s="9"/>
    </row>
    <row r="1387" ht="15.75" customHeight="1">
      <c r="A1387" s="9"/>
    </row>
    <row r="1388" ht="15.75" customHeight="1">
      <c r="A1388" s="9"/>
    </row>
    <row r="1389" ht="15.75" customHeight="1">
      <c r="A1389" s="9"/>
    </row>
    <row r="1390" ht="15.75" customHeight="1">
      <c r="A1390" s="9"/>
    </row>
    <row r="1391" ht="15.75" customHeight="1">
      <c r="A1391" s="9"/>
    </row>
    <row r="1392" ht="15.75" customHeight="1">
      <c r="A1392" s="9"/>
    </row>
    <row r="1393" ht="15.75" customHeight="1">
      <c r="A1393" s="9"/>
    </row>
    <row r="1394" ht="15.75" customHeight="1">
      <c r="A1394" s="9"/>
    </row>
    <row r="1395" ht="15.75" customHeight="1">
      <c r="A1395" s="9"/>
    </row>
    <row r="1396" ht="15.75" customHeight="1">
      <c r="A1396" s="9"/>
    </row>
    <row r="1397" ht="15.75" customHeight="1">
      <c r="A1397" s="9"/>
    </row>
    <row r="1398" ht="15.75" customHeight="1">
      <c r="A1398" s="9"/>
    </row>
    <row r="1399" ht="15.75" customHeight="1">
      <c r="A1399" s="9"/>
    </row>
    <row r="1400" ht="15.75" customHeight="1">
      <c r="A1400" s="9"/>
    </row>
    <row r="1401" ht="15.75" customHeight="1">
      <c r="A1401" s="9"/>
    </row>
    <row r="1402" ht="15.75" customHeight="1">
      <c r="A1402" s="9"/>
    </row>
    <row r="1403" ht="15.75" customHeight="1">
      <c r="A1403" s="9"/>
    </row>
    <row r="1404" ht="15.75" customHeight="1">
      <c r="A1404" s="9"/>
    </row>
    <row r="1405" ht="15.75" customHeight="1">
      <c r="A1405" s="9"/>
    </row>
    <row r="1406" ht="15.75" customHeight="1">
      <c r="A1406" s="9"/>
    </row>
    <row r="1407" ht="15.75" customHeight="1">
      <c r="A1407" s="9"/>
    </row>
    <row r="1408" ht="15.75" customHeight="1">
      <c r="A1408" s="9"/>
    </row>
    <row r="1409" ht="15.75" customHeight="1">
      <c r="A1409" s="9"/>
    </row>
    <row r="1410" ht="15.75" customHeight="1">
      <c r="A1410" s="9"/>
    </row>
    <row r="1411" ht="15.75" customHeight="1">
      <c r="A1411" s="9"/>
    </row>
    <row r="1412" ht="15.75" customHeight="1">
      <c r="A1412" s="9"/>
    </row>
    <row r="1413" ht="15.75" customHeight="1">
      <c r="A1413" s="9"/>
    </row>
    <row r="1414" ht="15.75" customHeight="1">
      <c r="A1414" s="9"/>
    </row>
    <row r="1415" ht="15.75" customHeight="1">
      <c r="A1415" s="9"/>
    </row>
    <row r="1416" ht="15.75" customHeight="1">
      <c r="A1416" s="9"/>
    </row>
    <row r="1417" ht="15.75" customHeight="1">
      <c r="A1417" s="9"/>
    </row>
    <row r="1418" ht="15.75" customHeight="1">
      <c r="A1418" s="9"/>
    </row>
    <row r="1419" ht="15.75" customHeight="1">
      <c r="A1419" s="9"/>
    </row>
    <row r="1420" ht="15.75" customHeight="1">
      <c r="A1420" s="9"/>
    </row>
    <row r="1421" ht="15.75" customHeight="1">
      <c r="A1421" s="9"/>
    </row>
    <row r="1422" ht="15.75" customHeight="1">
      <c r="A1422" s="9"/>
    </row>
    <row r="1423" ht="15.75" customHeight="1">
      <c r="A1423" s="9"/>
    </row>
    <row r="1424" ht="15.75" customHeight="1">
      <c r="A1424" s="9"/>
    </row>
    <row r="1425" ht="15.75" customHeight="1">
      <c r="A1425" s="9"/>
    </row>
    <row r="1426" ht="15.75" customHeight="1">
      <c r="A1426" s="9"/>
    </row>
    <row r="1427" ht="15.75" customHeight="1">
      <c r="A1427" s="9"/>
    </row>
    <row r="1428" ht="15.75" customHeight="1">
      <c r="A1428" s="9"/>
    </row>
    <row r="1429" ht="15.75" customHeight="1">
      <c r="A1429" s="9"/>
    </row>
    <row r="1430" ht="15.75" customHeight="1">
      <c r="A1430" s="9"/>
    </row>
    <row r="1431" ht="15.75" customHeight="1">
      <c r="A1431" s="9"/>
    </row>
    <row r="1432" ht="15.75" customHeight="1">
      <c r="A1432" s="9"/>
    </row>
    <row r="1433" ht="15.75" customHeight="1">
      <c r="A1433" s="9"/>
    </row>
    <row r="1434" ht="15.75" customHeight="1">
      <c r="A1434" s="9"/>
    </row>
    <row r="1435" ht="15.75" customHeight="1">
      <c r="A1435" s="9"/>
    </row>
    <row r="1436" ht="15.75" customHeight="1">
      <c r="A1436" s="9"/>
    </row>
    <row r="1437" ht="15.75" customHeight="1">
      <c r="A1437" s="9"/>
    </row>
    <row r="1438" ht="15.75" customHeight="1">
      <c r="A1438" s="9"/>
    </row>
    <row r="1439" ht="15.75" customHeight="1">
      <c r="A1439" s="9"/>
    </row>
    <row r="1440" ht="15.75" customHeight="1">
      <c r="A1440" s="9"/>
    </row>
    <row r="1441" ht="15.75" customHeight="1">
      <c r="A1441" s="9"/>
    </row>
    <row r="1442" ht="15.75" customHeight="1">
      <c r="A1442" s="9"/>
    </row>
    <row r="1443" ht="15.75" customHeight="1">
      <c r="A1443" s="9"/>
    </row>
    <row r="1444" ht="15.75" customHeight="1">
      <c r="A1444" s="9"/>
    </row>
    <row r="1445" ht="15.75" customHeight="1">
      <c r="A1445" s="9"/>
    </row>
    <row r="1446" ht="15.75" customHeight="1">
      <c r="A1446" s="9"/>
    </row>
    <row r="1447" ht="15.75" customHeight="1">
      <c r="A1447" s="9"/>
    </row>
    <row r="1448" ht="15.75" customHeight="1">
      <c r="A1448" s="9"/>
    </row>
    <row r="1449" ht="15.75" customHeight="1">
      <c r="A1449" s="9"/>
    </row>
    <row r="1450" ht="15.75" customHeight="1">
      <c r="A1450" s="9"/>
    </row>
    <row r="1451" ht="15.75" customHeight="1">
      <c r="A1451" s="9"/>
    </row>
    <row r="1452" ht="15.75" customHeight="1">
      <c r="A1452" s="9"/>
    </row>
    <row r="1453" ht="15.75" customHeight="1">
      <c r="A1453" s="9"/>
    </row>
    <row r="1454" ht="15.75" customHeight="1">
      <c r="A1454" s="9"/>
    </row>
    <row r="1455" ht="15.75" customHeight="1">
      <c r="A1455" s="9"/>
    </row>
    <row r="1456" ht="15.75" customHeight="1">
      <c r="A1456" s="9"/>
    </row>
    <row r="1457" ht="15.75" customHeight="1">
      <c r="A1457" s="9"/>
    </row>
    <row r="1458" ht="15.75" customHeight="1">
      <c r="A1458" s="9"/>
    </row>
    <row r="1459" ht="15.75" customHeight="1">
      <c r="A1459" s="9"/>
    </row>
    <row r="1460" ht="15.75" customHeight="1">
      <c r="A1460" s="9"/>
    </row>
    <row r="1461" ht="15.75" customHeight="1">
      <c r="A1461" s="9"/>
    </row>
    <row r="1462" ht="15.75" customHeight="1">
      <c r="A1462" s="9"/>
    </row>
    <row r="1463" ht="15.75" customHeight="1">
      <c r="A1463" s="9"/>
    </row>
    <row r="1464" ht="15.75" customHeight="1">
      <c r="A1464" s="9"/>
    </row>
    <row r="1465" ht="15.75" customHeight="1">
      <c r="A1465" s="9"/>
    </row>
    <row r="1466" ht="15.75" customHeight="1">
      <c r="A1466" s="9"/>
    </row>
    <row r="1467" ht="15.75" customHeight="1">
      <c r="A1467" s="9"/>
    </row>
    <row r="1468" ht="15.75" customHeight="1">
      <c r="A1468" s="9"/>
    </row>
    <row r="1469" ht="15.75" customHeight="1">
      <c r="A1469" s="9"/>
    </row>
    <row r="1470" ht="15.75" customHeight="1">
      <c r="A1470" s="9"/>
    </row>
    <row r="1471" ht="15.75" customHeight="1">
      <c r="A1471" s="9"/>
    </row>
    <row r="1472" ht="15.75" customHeight="1">
      <c r="A1472" s="9"/>
    </row>
    <row r="1473" ht="15.75" customHeight="1">
      <c r="A1473" s="9"/>
    </row>
    <row r="1474" ht="15.75" customHeight="1">
      <c r="A1474" s="9"/>
    </row>
    <row r="1475" ht="15.75" customHeight="1">
      <c r="A1475" s="9"/>
    </row>
    <row r="1476" ht="15.75" customHeight="1">
      <c r="A1476" s="9"/>
    </row>
    <row r="1477" ht="15.75" customHeight="1">
      <c r="A1477" s="9"/>
    </row>
    <row r="1478" ht="15.75" customHeight="1">
      <c r="A1478" s="9"/>
    </row>
    <row r="1479" ht="15.75" customHeight="1">
      <c r="A1479" s="9"/>
    </row>
    <row r="1480" ht="15.75" customHeight="1">
      <c r="A1480" s="9"/>
    </row>
    <row r="1481" ht="15.75" customHeight="1">
      <c r="A1481" s="9"/>
    </row>
    <row r="1482" ht="15.75" customHeight="1">
      <c r="A1482" s="9"/>
    </row>
    <row r="1483" ht="15.75" customHeight="1">
      <c r="A1483" s="9"/>
    </row>
    <row r="1484" ht="15.75" customHeight="1">
      <c r="A1484" s="9"/>
    </row>
    <row r="1485" ht="15.75" customHeight="1">
      <c r="A1485" s="9"/>
    </row>
    <row r="1486" ht="15.75" customHeight="1">
      <c r="A1486" s="9"/>
    </row>
    <row r="1487" ht="15.75" customHeight="1">
      <c r="A1487" s="9"/>
    </row>
    <row r="1488" ht="15.75" customHeight="1">
      <c r="A1488" s="9"/>
    </row>
    <row r="1489" ht="15.75" customHeight="1">
      <c r="A1489" s="9"/>
    </row>
    <row r="1490" ht="15.75" customHeight="1">
      <c r="A1490" s="9"/>
    </row>
    <row r="1491" ht="15.75" customHeight="1">
      <c r="A1491" s="9"/>
    </row>
    <row r="1492" ht="15.75" customHeight="1">
      <c r="A1492" s="9"/>
    </row>
    <row r="1493" ht="15.75" customHeight="1">
      <c r="A1493" s="9"/>
    </row>
    <row r="1494" ht="15.75" customHeight="1">
      <c r="A1494" s="9"/>
    </row>
    <row r="1495" ht="15.75" customHeight="1">
      <c r="A1495" s="9"/>
    </row>
    <row r="1496" ht="15.75" customHeight="1">
      <c r="A1496" s="9"/>
    </row>
    <row r="1497" ht="15.75" customHeight="1">
      <c r="A1497" s="9"/>
    </row>
    <row r="1498" ht="15.75" customHeight="1">
      <c r="A1498" s="9"/>
    </row>
    <row r="1499" ht="15.75" customHeight="1">
      <c r="A1499" s="9"/>
    </row>
    <row r="1500" ht="15.75" customHeight="1">
      <c r="A1500" s="9"/>
    </row>
    <row r="1501" ht="15.75" customHeight="1">
      <c r="A1501" s="9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71"/>
  </cols>
  <sheetData>
    <row r="1">
      <c r="A1" s="20"/>
    </row>
    <row r="2">
      <c r="A2" s="21" t="s">
        <v>1755</v>
      </c>
      <c r="B2" s="21" t="s">
        <v>1756</v>
      </c>
    </row>
    <row r="3">
      <c r="A3" s="21" t="s">
        <v>1757</v>
      </c>
      <c r="B3" s="11" t="s">
        <v>1756</v>
      </c>
    </row>
    <row r="4">
      <c r="A4" s="21" t="s">
        <v>1758</v>
      </c>
      <c r="B4" s="21" t="s">
        <v>1759</v>
      </c>
    </row>
    <row r="5">
      <c r="A5" s="21" t="s">
        <v>1760</v>
      </c>
      <c r="B5" s="11" t="s">
        <v>1761</v>
      </c>
    </row>
    <row r="6">
      <c r="A6" s="21" t="s">
        <v>1762</v>
      </c>
      <c r="B6" s="21" t="s">
        <v>1759</v>
      </c>
    </row>
    <row r="7">
      <c r="A7" s="21" t="s">
        <v>1763</v>
      </c>
      <c r="B7" s="21" t="s">
        <v>1764</v>
      </c>
    </row>
    <row r="8">
      <c r="A8" s="21" t="s">
        <v>1765</v>
      </c>
      <c r="B8" s="21" t="s">
        <v>1766</v>
      </c>
    </row>
    <row r="9">
      <c r="A9" s="21" t="s">
        <v>1767</v>
      </c>
      <c r="B9" s="21" t="s">
        <v>1768</v>
      </c>
    </row>
    <row r="10">
      <c r="A10" s="21" t="s">
        <v>1769</v>
      </c>
      <c r="B10" s="21" t="s">
        <v>1759</v>
      </c>
    </row>
    <row r="11">
      <c r="A11" s="21" t="s">
        <v>1770</v>
      </c>
      <c r="B11" s="21" t="s">
        <v>1771</v>
      </c>
    </row>
    <row r="12">
      <c r="A12" s="21" t="s">
        <v>1772</v>
      </c>
      <c r="B12" s="21" t="s">
        <v>1759</v>
      </c>
    </row>
    <row r="13">
      <c r="A13" s="21" t="s">
        <v>1773</v>
      </c>
      <c r="B13" s="21" t="s">
        <v>1766</v>
      </c>
    </row>
    <row r="14">
      <c r="A14" s="21" t="s">
        <v>1774</v>
      </c>
      <c r="B14" s="21" t="s">
        <v>1759</v>
      </c>
    </row>
    <row r="15">
      <c r="A15" s="21" t="s">
        <v>1775</v>
      </c>
      <c r="B15" s="21" t="s">
        <v>1771</v>
      </c>
    </row>
    <row r="16">
      <c r="A16" s="21" t="s">
        <v>1776</v>
      </c>
      <c r="B16" s="21" t="s">
        <v>1777</v>
      </c>
    </row>
    <row r="17">
      <c r="A17" s="21" t="s">
        <v>1778</v>
      </c>
      <c r="B17" s="21" t="s">
        <v>1759</v>
      </c>
    </row>
    <row r="18">
      <c r="A18" s="21" t="s">
        <v>1779</v>
      </c>
      <c r="B18" s="21" t="s">
        <v>1759</v>
      </c>
    </row>
    <row r="19">
      <c r="A19" s="21" t="s">
        <v>1780</v>
      </c>
      <c r="B19" s="21" t="s">
        <v>1781</v>
      </c>
    </row>
    <row r="20">
      <c r="A20" s="21" t="s">
        <v>1782</v>
      </c>
      <c r="B20" s="21" t="s">
        <v>1783</v>
      </c>
    </row>
    <row r="21">
      <c r="A21" s="21" t="s">
        <v>1784</v>
      </c>
      <c r="B21" s="21" t="s">
        <v>1785</v>
      </c>
    </row>
    <row r="22">
      <c r="A22" s="21" t="s">
        <v>1786</v>
      </c>
      <c r="B22" s="21" t="s">
        <v>1785</v>
      </c>
    </row>
    <row r="23">
      <c r="A23" s="21" t="s">
        <v>1787</v>
      </c>
      <c r="B23" s="21" t="s">
        <v>1759</v>
      </c>
    </row>
    <row r="24">
      <c r="A24" s="21" t="s">
        <v>1788</v>
      </c>
      <c r="B24" s="21" t="s">
        <v>1759</v>
      </c>
    </row>
    <row r="25">
      <c r="A25" s="21" t="s">
        <v>1789</v>
      </c>
      <c r="B25" s="21" t="s">
        <v>1759</v>
      </c>
    </row>
    <row r="26">
      <c r="A26" s="21" t="s">
        <v>1790</v>
      </c>
      <c r="B26" s="21" t="s">
        <v>1791</v>
      </c>
    </row>
    <row r="27">
      <c r="A27" s="21" t="s">
        <v>1792</v>
      </c>
      <c r="B27" s="11" t="s">
        <v>1793</v>
      </c>
    </row>
    <row r="28">
      <c r="A28" s="21" t="s">
        <v>1794</v>
      </c>
      <c r="B28" s="21" t="s">
        <v>1785</v>
      </c>
    </row>
    <row r="29">
      <c r="A29" s="21" t="s">
        <v>1795</v>
      </c>
      <c r="B29" s="21" t="s">
        <v>1796</v>
      </c>
    </row>
    <row r="30">
      <c r="A30" s="21" t="s">
        <v>1797</v>
      </c>
      <c r="B30" s="21" t="s">
        <v>1798</v>
      </c>
    </row>
    <row r="31">
      <c r="A31" s="21" t="s">
        <v>1799</v>
      </c>
      <c r="B31" s="21" t="s">
        <v>1800</v>
      </c>
    </row>
    <row r="32">
      <c r="A32" s="21" t="s">
        <v>1801</v>
      </c>
      <c r="B32" s="21" t="s">
        <v>1759</v>
      </c>
    </row>
    <row r="33">
      <c r="A33" s="21" t="s">
        <v>1802</v>
      </c>
      <c r="B33" s="21" t="s">
        <v>1759</v>
      </c>
    </row>
    <row r="34">
      <c r="A34" s="21" t="s">
        <v>1803</v>
      </c>
      <c r="B34" s="21" t="s">
        <v>1804</v>
      </c>
    </row>
    <row r="35">
      <c r="A35" s="21" t="s">
        <v>1805</v>
      </c>
      <c r="B35" s="21" t="s">
        <v>1806</v>
      </c>
    </row>
    <row r="36">
      <c r="A36" s="21" t="s">
        <v>1807</v>
      </c>
      <c r="B36" s="21" t="s">
        <v>1806</v>
      </c>
    </row>
    <row r="37">
      <c r="A37" s="21" t="s">
        <v>1808</v>
      </c>
      <c r="B37" s="21" t="s">
        <v>1800</v>
      </c>
    </row>
    <row r="38">
      <c r="A38" s="21" t="s">
        <v>1809</v>
      </c>
      <c r="B38" s="21" t="s">
        <v>1810</v>
      </c>
    </row>
    <row r="39">
      <c r="A39" s="21" t="s">
        <v>1811</v>
      </c>
      <c r="B39" s="21" t="s">
        <v>1759</v>
      </c>
    </row>
    <row r="40">
      <c r="A40" s="21" t="s">
        <v>1812</v>
      </c>
      <c r="B40" s="21" t="s">
        <v>1806</v>
      </c>
    </row>
    <row r="41">
      <c r="A41" s="21" t="s">
        <v>1813</v>
      </c>
      <c r="B41" s="11" t="s">
        <v>1768</v>
      </c>
    </row>
    <row r="42">
      <c r="A42" s="21" t="s">
        <v>1814</v>
      </c>
      <c r="B42" s="21" t="s">
        <v>1800</v>
      </c>
    </row>
    <row r="43">
      <c r="A43" s="21" t="s">
        <v>1815</v>
      </c>
      <c r="B43" s="21" t="s">
        <v>1800</v>
      </c>
    </row>
    <row r="44">
      <c r="A44" s="21" t="s">
        <v>1816</v>
      </c>
      <c r="B44" s="21" t="s">
        <v>1806</v>
      </c>
    </row>
    <row r="45">
      <c r="A45" s="21" t="s">
        <v>1817</v>
      </c>
      <c r="B45" s="21" t="s">
        <v>1791</v>
      </c>
    </row>
    <row r="46">
      <c r="A46" s="21" t="s">
        <v>1818</v>
      </c>
      <c r="B46" s="21" t="s">
        <v>1806</v>
      </c>
    </row>
    <row r="47">
      <c r="A47" s="21" t="s">
        <v>1819</v>
      </c>
      <c r="B47" s="21" t="s">
        <v>1806</v>
      </c>
    </row>
    <row r="48">
      <c r="A48" s="21" t="s">
        <v>1820</v>
      </c>
      <c r="B48" s="21" t="s">
        <v>1806</v>
      </c>
    </row>
    <row r="49">
      <c r="A49" s="21" t="s">
        <v>1821</v>
      </c>
      <c r="B49" s="21" t="s">
        <v>1822</v>
      </c>
    </row>
    <row r="50">
      <c r="A50" s="21" t="s">
        <v>1823</v>
      </c>
      <c r="B50" s="21" t="s">
        <v>1824</v>
      </c>
    </row>
    <row r="51">
      <c r="A51" s="21" t="s">
        <v>1825</v>
      </c>
      <c r="B51" s="21" t="s">
        <v>1806</v>
      </c>
    </row>
    <row r="52">
      <c r="A52" s="21" t="s">
        <v>1826</v>
      </c>
      <c r="B52" s="21" t="s">
        <v>1806</v>
      </c>
    </row>
    <row r="53">
      <c r="A53" s="21" t="s">
        <v>1827</v>
      </c>
      <c r="B53" s="21" t="s">
        <v>1828</v>
      </c>
    </row>
    <row r="54">
      <c r="A54" s="21" t="s">
        <v>1829</v>
      </c>
      <c r="B54" s="21" t="s">
        <v>1806</v>
      </c>
    </row>
    <row r="55">
      <c r="A55" s="21" t="s">
        <v>1830</v>
      </c>
      <c r="B55" s="21" t="s">
        <v>1806</v>
      </c>
    </row>
    <row r="56">
      <c r="A56" s="21" t="s">
        <v>1831</v>
      </c>
      <c r="B56" s="21" t="s">
        <v>1806</v>
      </c>
    </row>
    <row r="57">
      <c r="A57" s="21" t="s">
        <v>1832</v>
      </c>
      <c r="B57" s="21" t="s">
        <v>1833</v>
      </c>
    </row>
    <row r="58">
      <c r="A58" s="21" t="s">
        <v>1834</v>
      </c>
      <c r="B58" s="21" t="s">
        <v>1828</v>
      </c>
    </row>
    <row r="59">
      <c r="A59" s="21" t="s">
        <v>1835</v>
      </c>
      <c r="B59" s="21" t="s">
        <v>1806</v>
      </c>
    </row>
    <row r="60">
      <c r="A60" s="21" t="s">
        <v>1836</v>
      </c>
      <c r="B60" s="21" t="s">
        <v>1837</v>
      </c>
    </row>
    <row r="61">
      <c r="A61" s="21" t="s">
        <v>1838</v>
      </c>
      <c r="B61" s="11" t="s">
        <v>1839</v>
      </c>
    </row>
    <row r="62">
      <c r="A62" s="21" t="s">
        <v>1840</v>
      </c>
      <c r="B62" s="21" t="s">
        <v>1806</v>
      </c>
    </row>
    <row r="63">
      <c r="A63" s="21" t="s">
        <v>1841</v>
      </c>
      <c r="B63" s="21" t="s">
        <v>1828</v>
      </c>
    </row>
    <row r="64">
      <c r="A64" s="21" t="s">
        <v>1842</v>
      </c>
      <c r="B64" s="21" t="s">
        <v>1806</v>
      </c>
    </row>
    <row r="65">
      <c r="A65" s="21" t="s">
        <v>1843</v>
      </c>
      <c r="B65" s="21" t="s">
        <v>1844</v>
      </c>
    </row>
    <row r="66">
      <c r="A66" s="21" t="s">
        <v>1845</v>
      </c>
      <c r="B66" s="21" t="s">
        <v>1846</v>
      </c>
    </row>
    <row r="67">
      <c r="A67" s="21" t="s">
        <v>1847</v>
      </c>
      <c r="B67" s="21" t="s">
        <v>1806</v>
      </c>
    </row>
    <row r="68">
      <c r="A68" s="21" t="s">
        <v>1848</v>
      </c>
      <c r="B68" s="21" t="s">
        <v>1846</v>
      </c>
    </row>
    <row r="69">
      <c r="A69" s="21" t="s">
        <v>1849</v>
      </c>
      <c r="B69" s="21" t="s">
        <v>1844</v>
      </c>
    </row>
    <row r="70">
      <c r="A70" s="21" t="s">
        <v>1850</v>
      </c>
      <c r="B70" s="21" t="s">
        <v>1844</v>
      </c>
    </row>
    <row r="71">
      <c r="A71" s="21" t="s">
        <v>1851</v>
      </c>
      <c r="B71" s="21" t="s">
        <v>1852</v>
      </c>
    </row>
    <row r="72">
      <c r="A72" s="21" t="s">
        <v>1853</v>
      </c>
      <c r="B72" s="21" t="s">
        <v>1854</v>
      </c>
    </row>
    <row r="73">
      <c r="A73" s="21" t="s">
        <v>1855</v>
      </c>
      <c r="B73" s="21" t="s">
        <v>1846</v>
      </c>
    </row>
    <row r="74">
      <c r="A74" s="21" t="s">
        <v>1856</v>
      </c>
      <c r="B74" s="21" t="s">
        <v>1844</v>
      </c>
    </row>
    <row r="75">
      <c r="A75" s="21" t="s">
        <v>1857</v>
      </c>
      <c r="B75" s="21" t="s">
        <v>1858</v>
      </c>
    </row>
    <row r="76">
      <c r="A76" s="21" t="s">
        <v>1859</v>
      </c>
      <c r="B76" s="21" t="s">
        <v>1860</v>
      </c>
    </row>
    <row r="77">
      <c r="A77" s="21" t="s">
        <v>1861</v>
      </c>
      <c r="B77" s="21" t="s">
        <v>1862</v>
      </c>
    </row>
    <row r="78">
      <c r="A78" s="21" t="s">
        <v>1863</v>
      </c>
      <c r="B78" s="21" t="s">
        <v>1864</v>
      </c>
    </row>
    <row r="79">
      <c r="A79" s="21" t="s">
        <v>1865</v>
      </c>
      <c r="B79" s="21" t="s">
        <v>1864</v>
      </c>
    </row>
    <row r="80">
      <c r="A80" s="21" t="s">
        <v>1866</v>
      </c>
      <c r="B80" s="11" t="s">
        <v>1864</v>
      </c>
    </row>
    <row r="81">
      <c r="A81" s="21" t="s">
        <v>1867</v>
      </c>
      <c r="B81" s="21" t="s">
        <v>1864</v>
      </c>
    </row>
    <row r="82">
      <c r="A82" s="21" t="s">
        <v>1868</v>
      </c>
      <c r="B82" s="21" t="s">
        <v>1860</v>
      </c>
    </row>
    <row r="83">
      <c r="A83" s="21" t="s">
        <v>1869</v>
      </c>
      <c r="B83" s="21" t="s">
        <v>1870</v>
      </c>
    </row>
    <row r="84">
      <c r="A84" s="21" t="s">
        <v>1871</v>
      </c>
      <c r="B84" s="21" t="s">
        <v>1862</v>
      </c>
    </row>
    <row r="85">
      <c r="A85" s="21" t="s">
        <v>1872</v>
      </c>
      <c r="B85" s="21" t="s">
        <v>1864</v>
      </c>
    </row>
    <row r="86">
      <c r="A86" s="21" t="s">
        <v>1873</v>
      </c>
      <c r="B86" s="11" t="s">
        <v>1864</v>
      </c>
    </row>
    <row r="87">
      <c r="A87" s="21" t="s">
        <v>1874</v>
      </c>
      <c r="B87" s="11" t="s">
        <v>1862</v>
      </c>
    </row>
    <row r="88">
      <c r="A88" s="21" t="s">
        <v>1875</v>
      </c>
      <c r="B88" s="21" t="s">
        <v>1876</v>
      </c>
    </row>
    <row r="89">
      <c r="A89" s="21" t="s">
        <v>1877</v>
      </c>
      <c r="B89" s="21" t="s">
        <v>1878</v>
      </c>
    </row>
    <row r="90">
      <c r="A90" s="21" t="s">
        <v>1879</v>
      </c>
      <c r="B90" s="21" t="s">
        <v>1880</v>
      </c>
    </row>
    <row r="91">
      <c r="A91" s="21" t="s">
        <v>1881</v>
      </c>
      <c r="B91" s="21" t="s">
        <v>1882</v>
      </c>
    </row>
    <row r="92">
      <c r="A92" s="21" t="s">
        <v>1883</v>
      </c>
      <c r="B92" s="21" t="s">
        <v>1884</v>
      </c>
    </row>
    <row r="93">
      <c r="A93" s="21" t="s">
        <v>1885</v>
      </c>
      <c r="B93" s="21" t="s">
        <v>1880</v>
      </c>
    </row>
    <row r="94">
      <c r="A94" s="21" t="s">
        <v>1886</v>
      </c>
      <c r="B94" s="11" t="s">
        <v>1884</v>
      </c>
    </row>
    <row r="95">
      <c r="A95" s="21" t="s">
        <v>1887</v>
      </c>
      <c r="B95" s="21" t="s">
        <v>1888</v>
      </c>
    </row>
    <row r="96">
      <c r="A96" s="21" t="s">
        <v>1889</v>
      </c>
      <c r="B96" s="21" t="s">
        <v>1860</v>
      </c>
    </row>
    <row r="97">
      <c r="A97" s="21" t="s">
        <v>1890</v>
      </c>
      <c r="B97" s="21" t="s">
        <v>1891</v>
      </c>
    </row>
    <row r="98">
      <c r="A98" s="21" t="s">
        <v>1892</v>
      </c>
      <c r="B98" s="21" t="s">
        <v>1893</v>
      </c>
    </row>
    <row r="99">
      <c r="A99" s="21" t="s">
        <v>1894</v>
      </c>
      <c r="B99" s="21" t="s">
        <v>1895</v>
      </c>
    </row>
    <row r="100">
      <c r="A100" s="21" t="s">
        <v>1896</v>
      </c>
      <c r="B100" s="21" t="s">
        <v>1884</v>
      </c>
    </row>
    <row r="101">
      <c r="A101" s="21" t="s">
        <v>1897</v>
      </c>
      <c r="B101" s="21" t="s">
        <v>1898</v>
      </c>
    </row>
    <row r="102">
      <c r="A102" s="21" t="s">
        <v>1899</v>
      </c>
      <c r="B102" s="21" t="s">
        <v>1900</v>
      </c>
    </row>
    <row r="103">
      <c r="A103" s="21" t="s">
        <v>1901</v>
      </c>
      <c r="B103" s="21" t="s">
        <v>1902</v>
      </c>
    </row>
    <row r="104">
      <c r="A104" s="21" t="s">
        <v>1903</v>
      </c>
      <c r="B104" s="21" t="s">
        <v>1895</v>
      </c>
    </row>
    <row r="105">
      <c r="A105" s="21" t="s">
        <v>1904</v>
      </c>
      <c r="B105" s="21" t="s">
        <v>1905</v>
      </c>
    </row>
    <row r="106">
      <c r="A106" s="21" t="s">
        <v>1906</v>
      </c>
      <c r="B106" s="21" t="s">
        <v>1907</v>
      </c>
    </row>
    <row r="107">
      <c r="A107" s="21" t="s">
        <v>1908</v>
      </c>
      <c r="B107" s="21" t="s">
        <v>1898</v>
      </c>
    </row>
    <row r="108">
      <c r="A108" s="21" t="s">
        <v>1909</v>
      </c>
      <c r="B108" s="21" t="s">
        <v>1895</v>
      </c>
    </row>
    <row r="109">
      <c r="A109" s="21" t="s">
        <v>1910</v>
      </c>
      <c r="B109" s="21" t="s">
        <v>1911</v>
      </c>
    </row>
    <row r="110">
      <c r="A110" s="21" t="s">
        <v>1912</v>
      </c>
      <c r="B110" s="21" t="s">
        <v>1913</v>
      </c>
    </row>
    <row r="111">
      <c r="A111" s="21" t="s">
        <v>1914</v>
      </c>
      <c r="B111" s="21" t="s">
        <v>1895</v>
      </c>
    </row>
    <row r="112">
      <c r="A112" s="21" t="s">
        <v>1915</v>
      </c>
      <c r="B112" s="11" t="s">
        <v>1884</v>
      </c>
    </row>
    <row r="113">
      <c r="A113" s="21" t="s">
        <v>1916</v>
      </c>
      <c r="B113" s="21" t="s">
        <v>1895</v>
      </c>
    </row>
    <row r="114">
      <c r="A114" s="21" t="s">
        <v>1917</v>
      </c>
      <c r="B114" s="21" t="s">
        <v>1898</v>
      </c>
    </row>
    <row r="115">
      <c r="A115" s="21" t="s">
        <v>1918</v>
      </c>
      <c r="B115" s="21" t="s">
        <v>1898</v>
      </c>
    </row>
    <row r="116">
      <c r="A116" s="21" t="s">
        <v>1919</v>
      </c>
      <c r="B116" s="21" t="s">
        <v>1920</v>
      </c>
    </row>
    <row r="117">
      <c r="A117" s="21" t="s">
        <v>1921</v>
      </c>
      <c r="B117" s="21" t="s">
        <v>1922</v>
      </c>
    </row>
    <row r="118">
      <c r="A118" s="21" t="s">
        <v>1923</v>
      </c>
      <c r="B118" s="21" t="s">
        <v>1924</v>
      </c>
    </row>
    <row r="119">
      <c r="A119" s="21" t="s">
        <v>1925</v>
      </c>
      <c r="B119" s="21" t="s">
        <v>1926</v>
      </c>
    </row>
    <row r="120">
      <c r="A120" s="21" t="s">
        <v>1927</v>
      </c>
      <c r="B120" s="21" t="s">
        <v>1928</v>
      </c>
    </row>
    <row r="121">
      <c r="A121" s="21" t="s">
        <v>1929</v>
      </c>
      <c r="B121" s="21" t="s">
        <v>1926</v>
      </c>
    </row>
    <row r="122">
      <c r="A122" s="21" t="s">
        <v>1930</v>
      </c>
      <c r="B122" s="11" t="s">
        <v>1931</v>
      </c>
    </row>
    <row r="123">
      <c r="A123" s="21" t="s">
        <v>1932</v>
      </c>
      <c r="B123" s="21" t="s">
        <v>1924</v>
      </c>
    </row>
    <row r="124">
      <c r="A124" s="21" t="s">
        <v>1933</v>
      </c>
      <c r="B124" s="21" t="s">
        <v>1913</v>
      </c>
    </row>
    <row r="125">
      <c r="A125" s="21" t="s">
        <v>1934</v>
      </c>
      <c r="B125" s="21" t="s">
        <v>1935</v>
      </c>
    </row>
    <row r="126">
      <c r="A126" s="21" t="s">
        <v>1936</v>
      </c>
      <c r="B126" s="21" t="s">
        <v>1937</v>
      </c>
    </row>
    <row r="127">
      <c r="A127" s="21" t="s">
        <v>1938</v>
      </c>
      <c r="B127" s="21" t="s">
        <v>1935</v>
      </c>
    </row>
    <row r="128">
      <c r="A128" s="21" t="s">
        <v>1939</v>
      </c>
      <c r="B128" s="11" t="s">
        <v>1940</v>
      </c>
    </row>
    <row r="129">
      <c r="A129" s="21" t="s">
        <v>1941</v>
      </c>
      <c r="B129" s="11" t="s">
        <v>1942</v>
      </c>
    </row>
    <row r="130">
      <c r="A130" s="21" t="s">
        <v>1943</v>
      </c>
      <c r="B130" s="21" t="s">
        <v>1895</v>
      </c>
    </row>
    <row r="131">
      <c r="A131" s="11" t="s">
        <v>1944</v>
      </c>
      <c r="B131" s="11" t="s">
        <v>1945</v>
      </c>
    </row>
    <row r="132">
      <c r="A132" s="21" t="s">
        <v>1946</v>
      </c>
      <c r="B132" s="21" t="s">
        <v>1924</v>
      </c>
    </row>
    <row r="133">
      <c r="A133" s="21" t="s">
        <v>1947</v>
      </c>
      <c r="B133" s="21" t="s">
        <v>1948</v>
      </c>
    </row>
    <row r="134">
      <c r="A134" s="21" t="s">
        <v>1949</v>
      </c>
      <c r="B134" s="21" t="s">
        <v>1950</v>
      </c>
    </row>
    <row r="135">
      <c r="A135" s="21" t="s">
        <v>1951</v>
      </c>
      <c r="B135" s="21" t="s">
        <v>1924</v>
      </c>
    </row>
    <row r="136">
      <c r="A136" s="21" t="s">
        <v>1952</v>
      </c>
      <c r="B136" s="21" t="s">
        <v>1926</v>
      </c>
    </row>
    <row r="137">
      <c r="A137" s="21" t="s">
        <v>1953</v>
      </c>
      <c r="B137" s="11" t="s">
        <v>1954</v>
      </c>
      <c r="D137" s="11" t="s">
        <v>1955</v>
      </c>
    </row>
    <row r="138">
      <c r="A138" s="21" t="s">
        <v>1956</v>
      </c>
      <c r="B138" s="21" t="s">
        <v>1957</v>
      </c>
    </row>
    <row r="139">
      <c r="A139" s="21" t="s">
        <v>1958</v>
      </c>
      <c r="B139" s="21" t="s">
        <v>1959</v>
      </c>
    </row>
    <row r="140">
      <c r="A140" s="21" t="s">
        <v>1960</v>
      </c>
      <c r="B140" s="21" t="s">
        <v>1961</v>
      </c>
    </row>
    <row r="141">
      <c r="A141" s="21" t="s">
        <v>1962</v>
      </c>
      <c r="B141" s="21" t="s">
        <v>1963</v>
      </c>
    </row>
    <row r="142">
      <c r="A142" s="21" t="s">
        <v>1964</v>
      </c>
      <c r="B142" s="21" t="s">
        <v>1965</v>
      </c>
    </row>
    <row r="143">
      <c r="A143" s="21" t="s">
        <v>1966</v>
      </c>
      <c r="B143" s="21" t="s">
        <v>1895</v>
      </c>
    </row>
    <row r="144">
      <c r="A144" s="21" t="s">
        <v>1967</v>
      </c>
      <c r="B144" s="21" t="s">
        <v>1968</v>
      </c>
    </row>
    <row r="145">
      <c r="A145" s="21" t="s">
        <v>1969</v>
      </c>
      <c r="B145" s="21" t="s">
        <v>1950</v>
      </c>
    </row>
    <row r="146">
      <c r="A146" s="21" t="s">
        <v>1970</v>
      </c>
      <c r="B146" s="21" t="s">
        <v>1935</v>
      </c>
    </row>
    <row r="147">
      <c r="A147" s="21" t="s">
        <v>1971</v>
      </c>
      <c r="B147" s="21" t="s">
        <v>1972</v>
      </c>
    </row>
    <row r="148">
      <c r="A148" s="21" t="s">
        <v>1973</v>
      </c>
      <c r="B148" s="21" t="s">
        <v>1957</v>
      </c>
    </row>
    <row r="149">
      <c r="A149" s="21" t="s">
        <v>1974</v>
      </c>
      <c r="B149" s="21" t="s">
        <v>1911</v>
      </c>
    </row>
    <row r="150">
      <c r="A150" s="21" t="s">
        <v>1975</v>
      </c>
      <c r="B150" s="21" t="s">
        <v>1924</v>
      </c>
    </row>
    <row r="151">
      <c r="A151" s="21" t="s">
        <v>1976</v>
      </c>
      <c r="B151" s="21" t="s">
        <v>1977</v>
      </c>
    </row>
    <row r="152">
      <c r="A152" s="21" t="s">
        <v>1978</v>
      </c>
      <c r="B152" s="21" t="s">
        <v>1950</v>
      </c>
    </row>
    <row r="153">
      <c r="A153" s="21" t="s">
        <v>1979</v>
      </c>
      <c r="B153" s="21" t="s">
        <v>1900</v>
      </c>
    </row>
    <row r="154">
      <c r="A154" s="21" t="s">
        <v>1980</v>
      </c>
      <c r="B154" s="21" t="s">
        <v>1950</v>
      </c>
    </row>
    <row r="155">
      <c r="A155" s="21" t="s">
        <v>1981</v>
      </c>
      <c r="B155" s="21" t="s">
        <v>1926</v>
      </c>
    </row>
    <row r="156">
      <c r="A156" s="21" t="s">
        <v>1982</v>
      </c>
      <c r="B156" s="21" t="s">
        <v>1983</v>
      </c>
    </row>
    <row r="157">
      <c r="A157" s="21" t="s">
        <v>1984</v>
      </c>
      <c r="B157" s="21" t="s">
        <v>1985</v>
      </c>
    </row>
    <row r="158">
      <c r="A158" s="21" t="s">
        <v>1986</v>
      </c>
      <c r="B158" s="21" t="s">
        <v>1913</v>
      </c>
    </row>
    <row r="159">
      <c r="A159" s="21" t="s">
        <v>1987</v>
      </c>
      <c r="B159" s="21" t="s">
        <v>1988</v>
      </c>
    </row>
    <row r="160">
      <c r="A160" s="21" t="s">
        <v>1989</v>
      </c>
      <c r="B160" s="21" t="s">
        <v>1990</v>
      </c>
    </row>
    <row r="161">
      <c r="A161" s="21" t="s">
        <v>1991</v>
      </c>
      <c r="B161" s="11" t="s">
        <v>1931</v>
      </c>
      <c r="D161" s="11" t="s">
        <v>1992</v>
      </c>
    </row>
    <row r="162">
      <c r="A162" s="21" t="s">
        <v>1993</v>
      </c>
      <c r="B162" s="21" t="s">
        <v>1994</v>
      </c>
    </row>
    <row r="163">
      <c r="A163" s="21" t="s">
        <v>1995</v>
      </c>
      <c r="B163" s="11" t="s">
        <v>1996</v>
      </c>
      <c r="D163" s="11" t="s">
        <v>1997</v>
      </c>
    </row>
    <row r="164">
      <c r="A164" s="21" t="s">
        <v>1998</v>
      </c>
      <c r="B164" s="21" t="s">
        <v>1999</v>
      </c>
    </row>
    <row r="165">
      <c r="A165" s="21" t="s">
        <v>2000</v>
      </c>
      <c r="B165" s="21" t="s">
        <v>2001</v>
      </c>
    </row>
    <row r="166">
      <c r="A166" s="21" t="s">
        <v>2002</v>
      </c>
      <c r="B166" s="21" t="s">
        <v>2003</v>
      </c>
    </row>
    <row r="167">
      <c r="A167" s="21" t="s">
        <v>2004</v>
      </c>
      <c r="B167" s="21" t="s">
        <v>2005</v>
      </c>
    </row>
    <row r="168">
      <c r="A168" s="21" t="s">
        <v>2006</v>
      </c>
      <c r="B168" s="21" t="s">
        <v>2007</v>
      </c>
    </row>
    <row r="169">
      <c r="A169" s="21" t="s">
        <v>2008</v>
      </c>
      <c r="B169" s="21" t="s">
        <v>2009</v>
      </c>
    </row>
    <row r="170">
      <c r="A170" s="21" t="s">
        <v>2010</v>
      </c>
      <c r="B170" s="21" t="s">
        <v>2011</v>
      </c>
    </row>
    <row r="171">
      <c r="A171" s="21" t="s">
        <v>2012</v>
      </c>
      <c r="B171" s="21" t="s">
        <v>2013</v>
      </c>
    </row>
    <row r="172">
      <c r="A172" s="21" t="s">
        <v>2014</v>
      </c>
      <c r="B172" s="21" t="s">
        <v>1926</v>
      </c>
    </row>
    <row r="173">
      <c r="A173" s="21" t="s">
        <v>2015</v>
      </c>
      <c r="B173" s="21" t="s">
        <v>1988</v>
      </c>
    </row>
    <row r="174">
      <c r="A174" s="21" t="s">
        <v>2016</v>
      </c>
      <c r="B174" s="21" t="s">
        <v>2017</v>
      </c>
    </row>
    <row r="175">
      <c r="A175" s="21" t="s">
        <v>2018</v>
      </c>
      <c r="B175" s="21" t="s">
        <v>2019</v>
      </c>
    </row>
    <row r="176">
      <c r="A176" s="21" t="s">
        <v>2020</v>
      </c>
      <c r="B176" s="21" t="s">
        <v>2021</v>
      </c>
    </row>
    <row r="177">
      <c r="A177" s="21" t="s">
        <v>2022</v>
      </c>
      <c r="B177" s="21" t="s">
        <v>2013</v>
      </c>
    </row>
    <row r="178">
      <c r="A178" s="21" t="s">
        <v>2023</v>
      </c>
      <c r="B178" s="21" t="s">
        <v>2024</v>
      </c>
    </row>
    <row r="179">
      <c r="A179" s="21" t="s">
        <v>2025</v>
      </c>
      <c r="B179" s="21" t="s">
        <v>2026</v>
      </c>
    </row>
    <row r="180">
      <c r="A180" s="21" t="s">
        <v>2027</v>
      </c>
      <c r="B180" s="21" t="s">
        <v>2003</v>
      </c>
    </row>
    <row r="181">
      <c r="A181" s="21" t="s">
        <v>2028</v>
      </c>
      <c r="B181" s="21" t="s">
        <v>2029</v>
      </c>
    </row>
    <row r="182">
      <c r="A182" s="21" t="s">
        <v>2030</v>
      </c>
      <c r="B182" s="21" t="s">
        <v>2003</v>
      </c>
    </row>
    <row r="183">
      <c r="A183" s="21" t="s">
        <v>2031</v>
      </c>
      <c r="B183" s="21" t="s">
        <v>1924</v>
      </c>
    </row>
    <row r="184">
      <c r="A184" s="21" t="s">
        <v>2032</v>
      </c>
      <c r="B184" s="21" t="s">
        <v>1950</v>
      </c>
    </row>
    <row r="185">
      <c r="A185" s="21" t="s">
        <v>2033</v>
      </c>
      <c r="B185" s="21" t="s">
        <v>1924</v>
      </c>
    </row>
    <row r="186">
      <c r="A186" s="21" t="s">
        <v>2034</v>
      </c>
      <c r="B186" s="21" t="s">
        <v>2035</v>
      </c>
    </row>
    <row r="187">
      <c r="A187" s="21" t="s">
        <v>2036</v>
      </c>
      <c r="B187" s="21" t="s">
        <v>2037</v>
      </c>
    </row>
    <row r="188">
      <c r="A188" s="21" t="s">
        <v>2038</v>
      </c>
      <c r="B188" s="21" t="s">
        <v>2005</v>
      </c>
    </row>
    <row r="189">
      <c r="A189" s="21" t="s">
        <v>2039</v>
      </c>
      <c r="B189" s="21" t="s">
        <v>1913</v>
      </c>
    </row>
    <row r="190">
      <c r="A190" s="21" t="s">
        <v>2040</v>
      </c>
      <c r="B190" s="21" t="s">
        <v>2041</v>
      </c>
    </row>
    <row r="191">
      <c r="A191" s="21" t="s">
        <v>2042</v>
      </c>
      <c r="B191" s="21" t="s">
        <v>2043</v>
      </c>
    </row>
    <row r="192">
      <c r="A192" s="21" t="s">
        <v>2044</v>
      </c>
      <c r="B192" s="21" t="s">
        <v>1972</v>
      </c>
    </row>
    <row r="193">
      <c r="A193" s="21" t="s">
        <v>2045</v>
      </c>
      <c r="B193" s="21" t="s">
        <v>2046</v>
      </c>
    </row>
    <row r="194">
      <c r="A194" s="21" t="s">
        <v>2047</v>
      </c>
      <c r="B194" s="21" t="s">
        <v>2048</v>
      </c>
    </row>
    <row r="195">
      <c r="A195" s="21" t="s">
        <v>2049</v>
      </c>
      <c r="B195" s="21" t="s">
        <v>1972</v>
      </c>
    </row>
    <row r="196">
      <c r="A196" s="21" t="s">
        <v>2050</v>
      </c>
      <c r="B196" s="21" t="s">
        <v>2005</v>
      </c>
    </row>
    <row r="197">
      <c r="A197" s="21" t="s">
        <v>2051</v>
      </c>
      <c r="B197" s="21" t="s">
        <v>2003</v>
      </c>
    </row>
    <row r="198">
      <c r="A198" s="21" t="s">
        <v>2052</v>
      </c>
      <c r="B198" s="21" t="s">
        <v>1924</v>
      </c>
    </row>
    <row r="199">
      <c r="A199" s="21" t="s">
        <v>2053</v>
      </c>
      <c r="B199" s="21" t="s">
        <v>2054</v>
      </c>
    </row>
    <row r="200">
      <c r="A200" s="21" t="s">
        <v>2055</v>
      </c>
      <c r="B200" s="21" t="s">
        <v>2056</v>
      </c>
    </row>
    <row r="201">
      <c r="A201" s="21" t="s">
        <v>2057</v>
      </c>
      <c r="B201" s="21" t="s">
        <v>1972</v>
      </c>
    </row>
    <row r="202">
      <c r="A202" s="21" t="s">
        <v>2058</v>
      </c>
      <c r="B202" s="11" t="s">
        <v>2059</v>
      </c>
    </row>
    <row r="203">
      <c r="A203" s="21" t="s">
        <v>2060</v>
      </c>
      <c r="B203" s="11" t="s">
        <v>2061</v>
      </c>
    </row>
    <row r="204">
      <c r="A204" s="21" t="s">
        <v>2062</v>
      </c>
      <c r="B204" s="21" t="s">
        <v>1900</v>
      </c>
    </row>
    <row r="205">
      <c r="A205" s="21" t="s">
        <v>2063</v>
      </c>
      <c r="B205" s="21" t="s">
        <v>2064</v>
      </c>
    </row>
    <row r="206">
      <c r="A206" s="21" t="s">
        <v>2065</v>
      </c>
      <c r="B206" s="21" t="s">
        <v>1950</v>
      </c>
    </row>
    <row r="207">
      <c r="A207" s="21" t="s">
        <v>2066</v>
      </c>
      <c r="B207" s="21" t="s">
        <v>2067</v>
      </c>
    </row>
    <row r="208">
      <c r="A208" s="21" t="s">
        <v>2068</v>
      </c>
      <c r="B208" s="21" t="s">
        <v>2041</v>
      </c>
    </row>
    <row r="209">
      <c r="A209" s="21" t="s">
        <v>2069</v>
      </c>
      <c r="B209" s="21" t="s">
        <v>2013</v>
      </c>
    </row>
    <row r="210">
      <c r="A210" s="21" t="s">
        <v>2070</v>
      </c>
      <c r="B210" s="21" t="s">
        <v>2005</v>
      </c>
    </row>
    <row r="211">
      <c r="A211" s="21" t="s">
        <v>2071</v>
      </c>
      <c r="B211" s="21" t="s">
        <v>1935</v>
      </c>
    </row>
    <row r="212">
      <c r="A212" s="21" t="s">
        <v>2072</v>
      </c>
      <c r="B212" s="21" t="s">
        <v>2073</v>
      </c>
    </row>
    <row r="213">
      <c r="A213" s="21" t="s">
        <v>2074</v>
      </c>
      <c r="B213" s="21" t="s">
        <v>1957</v>
      </c>
    </row>
    <row r="214">
      <c r="A214" s="21" t="s">
        <v>2075</v>
      </c>
      <c r="B214" s="21" t="s">
        <v>2076</v>
      </c>
    </row>
    <row r="215">
      <c r="A215" s="21" t="s">
        <v>2077</v>
      </c>
      <c r="B215" s="21" t="s">
        <v>2067</v>
      </c>
    </row>
    <row r="216">
      <c r="A216" s="21" t="s">
        <v>2078</v>
      </c>
      <c r="B216" s="11" t="s">
        <v>2079</v>
      </c>
    </row>
    <row r="217">
      <c r="A217" s="21" t="s">
        <v>2080</v>
      </c>
      <c r="B217" s="11" t="s">
        <v>2081</v>
      </c>
    </row>
    <row r="218">
      <c r="A218" s="21" t="s">
        <v>2082</v>
      </c>
      <c r="B218" s="21" t="s">
        <v>2083</v>
      </c>
    </row>
    <row r="219">
      <c r="A219" s="21" t="s">
        <v>2084</v>
      </c>
      <c r="B219" s="11" t="s">
        <v>2085</v>
      </c>
    </row>
    <row r="220">
      <c r="A220" s="21" t="s">
        <v>2086</v>
      </c>
      <c r="B220" s="21" t="s">
        <v>1972</v>
      </c>
    </row>
    <row r="221">
      <c r="A221" s="21" t="s">
        <v>2087</v>
      </c>
      <c r="B221" s="21" t="s">
        <v>2088</v>
      </c>
    </row>
    <row r="222">
      <c r="A222" s="21" t="s">
        <v>2089</v>
      </c>
      <c r="B222" s="21" t="s">
        <v>2003</v>
      </c>
    </row>
    <row r="223">
      <c r="A223" s="21" t="s">
        <v>2090</v>
      </c>
      <c r="B223" s="21" t="s">
        <v>2091</v>
      </c>
    </row>
    <row r="224">
      <c r="A224" s="21" t="s">
        <v>2092</v>
      </c>
      <c r="B224" s="21" t="s">
        <v>1950</v>
      </c>
    </row>
    <row r="225">
      <c r="A225" s="21" t="s">
        <v>2093</v>
      </c>
      <c r="B225" s="21" t="s">
        <v>1913</v>
      </c>
    </row>
    <row r="226">
      <c r="A226" s="21" t="s">
        <v>2094</v>
      </c>
      <c r="B226" s="21" t="s">
        <v>2095</v>
      </c>
    </row>
    <row r="227">
      <c r="A227" s="21" t="s">
        <v>2096</v>
      </c>
      <c r="B227" s="21" t="s">
        <v>1924</v>
      </c>
    </row>
    <row r="228">
      <c r="A228" s="21" t="s">
        <v>2097</v>
      </c>
      <c r="B228" s="21" t="s">
        <v>2098</v>
      </c>
    </row>
    <row r="229">
      <c r="A229" s="21" t="s">
        <v>2099</v>
      </c>
      <c r="B229" s="11" t="s">
        <v>2100</v>
      </c>
    </row>
    <row r="230">
      <c r="A230" s="21" t="s">
        <v>2101</v>
      </c>
      <c r="B230" s="21" t="s">
        <v>2100</v>
      </c>
    </row>
    <row r="231">
      <c r="A231" s="21" t="s">
        <v>2102</v>
      </c>
      <c r="B231" s="21" t="s">
        <v>2003</v>
      </c>
    </row>
    <row r="232">
      <c r="A232" s="21" t="s">
        <v>2103</v>
      </c>
      <c r="B232" s="21" t="s">
        <v>2061</v>
      </c>
    </row>
    <row r="233">
      <c r="A233" s="21" t="s">
        <v>2104</v>
      </c>
      <c r="B233" s="21" t="s">
        <v>2079</v>
      </c>
    </row>
    <row r="234">
      <c r="A234" s="21" t="s">
        <v>2105</v>
      </c>
      <c r="B234" s="21" t="s">
        <v>2106</v>
      </c>
    </row>
    <row r="235">
      <c r="A235" s="21" t="s">
        <v>2107</v>
      </c>
      <c r="B235" s="21" t="s">
        <v>1968</v>
      </c>
    </row>
    <row r="236">
      <c r="A236" s="21" t="s">
        <v>2108</v>
      </c>
      <c r="B236" s="21" t="s">
        <v>2109</v>
      </c>
    </row>
    <row r="237">
      <c r="A237" s="21" t="s">
        <v>2110</v>
      </c>
      <c r="B237" s="21" t="s">
        <v>2111</v>
      </c>
    </row>
    <row r="238">
      <c r="A238" s="21" t="s">
        <v>2112</v>
      </c>
      <c r="B238" s="21" t="s">
        <v>2005</v>
      </c>
    </row>
    <row r="239">
      <c r="A239" s="21" t="s">
        <v>2113</v>
      </c>
      <c r="B239" s="21" t="s">
        <v>1950</v>
      </c>
    </row>
    <row r="240">
      <c r="A240" s="21" t="s">
        <v>2114</v>
      </c>
      <c r="B240" s="21" t="s">
        <v>2115</v>
      </c>
    </row>
    <row r="241">
      <c r="A241" s="21" t="s">
        <v>2116</v>
      </c>
      <c r="B241" s="11" t="s">
        <v>2073</v>
      </c>
    </row>
    <row r="242">
      <c r="A242" s="21" t="s">
        <v>2117</v>
      </c>
      <c r="B242" s="21" t="s">
        <v>2048</v>
      </c>
    </row>
    <row r="243">
      <c r="A243" s="21" t="s">
        <v>2118</v>
      </c>
      <c r="B243" s="21" t="s">
        <v>2119</v>
      </c>
    </row>
    <row r="244">
      <c r="A244" s="21" t="s">
        <v>2120</v>
      </c>
      <c r="B244" s="21" t="s">
        <v>1972</v>
      </c>
    </row>
    <row r="245">
      <c r="A245" s="21" t="s">
        <v>2121</v>
      </c>
      <c r="B245" s="21" t="s">
        <v>2122</v>
      </c>
    </row>
    <row r="246">
      <c r="A246" s="21" t="s">
        <v>2123</v>
      </c>
      <c r="B246" s="21" t="s">
        <v>2124</v>
      </c>
    </row>
    <row r="247">
      <c r="A247" s="21" t="s">
        <v>2125</v>
      </c>
      <c r="B247" s="11" t="s">
        <v>2126</v>
      </c>
    </row>
    <row r="248">
      <c r="A248" s="21" t="s">
        <v>2127</v>
      </c>
      <c r="B248" s="21" t="s">
        <v>2005</v>
      </c>
    </row>
    <row r="249">
      <c r="A249" s="21" t="s">
        <v>2128</v>
      </c>
      <c r="B249" s="21" t="s">
        <v>2067</v>
      </c>
    </row>
    <row r="250">
      <c r="A250" s="21" t="s">
        <v>2129</v>
      </c>
      <c r="B250" s="21" t="s">
        <v>2130</v>
      </c>
    </row>
    <row r="251">
      <c r="A251" s="21" t="s">
        <v>2131</v>
      </c>
      <c r="B251" s="21" t="s">
        <v>2003</v>
      </c>
    </row>
    <row r="252">
      <c r="A252" s="21" t="s">
        <v>2132</v>
      </c>
      <c r="B252" s="21" t="s">
        <v>2043</v>
      </c>
    </row>
    <row r="253">
      <c r="A253" s="21" t="s">
        <v>2133</v>
      </c>
      <c r="B253" s="21" t="s">
        <v>2134</v>
      </c>
    </row>
    <row r="254">
      <c r="A254" s="21" t="s">
        <v>2135</v>
      </c>
      <c r="B254" s="21" t="s">
        <v>2024</v>
      </c>
    </row>
    <row r="255">
      <c r="A255" s="21" t="s">
        <v>2136</v>
      </c>
      <c r="B255" s="21" t="s">
        <v>2137</v>
      </c>
    </row>
    <row r="256">
      <c r="A256" s="21" t="s">
        <v>2138</v>
      </c>
      <c r="B256" s="21" t="s">
        <v>1972</v>
      </c>
    </row>
    <row r="257">
      <c r="A257" s="21" t="s">
        <v>2139</v>
      </c>
      <c r="B257" s="21" t="s">
        <v>2003</v>
      </c>
    </row>
    <row r="258">
      <c r="A258" s="21" t="s">
        <v>2140</v>
      </c>
      <c r="B258" s="21" t="s">
        <v>2141</v>
      </c>
    </row>
    <row r="259">
      <c r="A259" s="21" t="s">
        <v>2142</v>
      </c>
      <c r="B259" s="21" t="s">
        <v>1924</v>
      </c>
    </row>
    <row r="260">
      <c r="A260" s="21" t="s">
        <v>2143</v>
      </c>
      <c r="B260" s="21" t="s">
        <v>1972</v>
      </c>
    </row>
    <row r="261">
      <c r="A261" s="21" t="s">
        <v>2144</v>
      </c>
      <c r="B261" s="21" t="s">
        <v>2145</v>
      </c>
    </row>
    <row r="262">
      <c r="A262" s="21" t="s">
        <v>2146</v>
      </c>
      <c r="B262" s="21" t="s">
        <v>2147</v>
      </c>
    </row>
    <row r="263">
      <c r="A263" s="21" t="s">
        <v>2148</v>
      </c>
      <c r="B263" s="21" t="s">
        <v>2079</v>
      </c>
    </row>
    <row r="264">
      <c r="A264" s="21" t="s">
        <v>2149</v>
      </c>
      <c r="B264" s="21" t="s">
        <v>2005</v>
      </c>
    </row>
    <row r="265">
      <c r="A265" s="21" t="s">
        <v>2150</v>
      </c>
      <c r="B265" s="21" t="s">
        <v>2124</v>
      </c>
    </row>
    <row r="266">
      <c r="A266" s="21" t="s">
        <v>2151</v>
      </c>
      <c r="B266" s="11" t="s">
        <v>2100</v>
      </c>
    </row>
    <row r="267">
      <c r="A267" s="21" t="s">
        <v>2152</v>
      </c>
      <c r="B267" s="21" t="s">
        <v>2153</v>
      </c>
    </row>
    <row r="268">
      <c r="A268" s="21" t="s">
        <v>2154</v>
      </c>
      <c r="B268" s="21" t="s">
        <v>2155</v>
      </c>
    </row>
    <row r="269">
      <c r="A269" s="21" t="s">
        <v>2156</v>
      </c>
      <c r="B269" s="21" t="s">
        <v>2157</v>
      </c>
    </row>
    <row r="270">
      <c r="A270" s="21" t="s">
        <v>2158</v>
      </c>
      <c r="B270" s="21" t="s">
        <v>2159</v>
      </c>
    </row>
    <row r="271">
      <c r="A271" s="11" t="s">
        <v>2160</v>
      </c>
      <c r="B271" s="11" t="s">
        <v>2035</v>
      </c>
    </row>
    <row r="272">
      <c r="A272" s="21" t="s">
        <v>2161</v>
      </c>
      <c r="B272" s="21" t="s">
        <v>2162</v>
      </c>
    </row>
    <row r="273">
      <c r="A273" s="21" t="s">
        <v>2163</v>
      </c>
      <c r="B273" s="21" t="s">
        <v>2073</v>
      </c>
    </row>
    <row r="274">
      <c r="A274" s="21" t="s">
        <v>2164</v>
      </c>
      <c r="B274" s="21" t="s">
        <v>1972</v>
      </c>
    </row>
    <row r="275">
      <c r="A275" s="21" t="s">
        <v>2165</v>
      </c>
      <c r="B275" s="21" t="s">
        <v>2003</v>
      </c>
    </row>
    <row r="276">
      <c r="A276" s="21" t="s">
        <v>2166</v>
      </c>
      <c r="B276" s="21" t="s">
        <v>1950</v>
      </c>
    </row>
    <row r="277">
      <c r="A277" s="21" t="s">
        <v>2167</v>
      </c>
      <c r="B277" s="21" t="s">
        <v>2168</v>
      </c>
    </row>
    <row r="278">
      <c r="A278" s="21" t="s">
        <v>2169</v>
      </c>
      <c r="B278" s="21" t="s">
        <v>2170</v>
      </c>
    </row>
    <row r="279">
      <c r="A279" s="21" t="s">
        <v>2171</v>
      </c>
      <c r="B279" s="21" t="s">
        <v>2172</v>
      </c>
    </row>
    <row r="280">
      <c r="A280" s="21" t="s">
        <v>2173</v>
      </c>
      <c r="B280" s="21" t="s">
        <v>2048</v>
      </c>
    </row>
    <row r="281">
      <c r="A281" s="21" t="s">
        <v>2174</v>
      </c>
      <c r="B281" s="21" t="s">
        <v>2079</v>
      </c>
    </row>
    <row r="282">
      <c r="A282" s="21" t="s">
        <v>2175</v>
      </c>
      <c r="B282" s="11" t="s">
        <v>2100</v>
      </c>
    </row>
    <row r="283">
      <c r="A283" s="21" t="s">
        <v>2176</v>
      </c>
      <c r="B283" s="21" t="s">
        <v>2177</v>
      </c>
    </row>
    <row r="284">
      <c r="A284" s="21" t="s">
        <v>2178</v>
      </c>
      <c r="B284" s="21" t="s">
        <v>2179</v>
      </c>
    </row>
    <row r="285">
      <c r="A285" s="21" t="s">
        <v>2180</v>
      </c>
      <c r="B285" s="21" t="s">
        <v>2005</v>
      </c>
    </row>
    <row r="286">
      <c r="A286" s="21" t="s">
        <v>2181</v>
      </c>
      <c r="B286" s="21" t="s">
        <v>1972</v>
      </c>
    </row>
    <row r="287">
      <c r="A287" s="21" t="s">
        <v>2182</v>
      </c>
      <c r="B287" s="21" t="s">
        <v>2183</v>
      </c>
    </row>
    <row r="288">
      <c r="A288" s="21" t="s">
        <v>2184</v>
      </c>
      <c r="B288" s="21" t="s">
        <v>2126</v>
      </c>
    </row>
    <row r="289">
      <c r="A289" s="21" t="s">
        <v>2185</v>
      </c>
      <c r="B289" s="21" t="s">
        <v>2043</v>
      </c>
    </row>
    <row r="290">
      <c r="A290" s="21" t="s">
        <v>2186</v>
      </c>
      <c r="B290" s="21" t="s">
        <v>2003</v>
      </c>
    </row>
    <row r="291">
      <c r="A291" s="11" t="s">
        <v>2187</v>
      </c>
      <c r="B291" s="11" t="s">
        <v>2183</v>
      </c>
    </row>
    <row r="292">
      <c r="A292" s="11" t="s">
        <v>2188</v>
      </c>
      <c r="B292" s="11" t="s">
        <v>2189</v>
      </c>
    </row>
    <row r="293">
      <c r="A293" s="21" t="s">
        <v>2190</v>
      </c>
      <c r="B293" s="21" t="s">
        <v>2159</v>
      </c>
    </row>
    <row r="294">
      <c r="A294" s="21" t="s">
        <v>2191</v>
      </c>
      <c r="B294" s="21" t="s">
        <v>2192</v>
      </c>
    </row>
    <row r="295">
      <c r="A295" s="21" t="s">
        <v>2193</v>
      </c>
      <c r="B295" s="21" t="s">
        <v>2162</v>
      </c>
    </row>
    <row r="296">
      <c r="A296" s="21" t="s">
        <v>2194</v>
      </c>
      <c r="B296" s="21" t="s">
        <v>2195</v>
      </c>
    </row>
    <row r="297">
      <c r="A297" s="11" t="s">
        <v>2196</v>
      </c>
      <c r="B297" s="11" t="s">
        <v>2076</v>
      </c>
    </row>
    <row r="298">
      <c r="A298" s="21" t="s">
        <v>2197</v>
      </c>
      <c r="B298" s="21" t="s">
        <v>2162</v>
      </c>
    </row>
    <row r="299">
      <c r="A299" s="21" t="s">
        <v>2198</v>
      </c>
      <c r="B299" s="21" t="s">
        <v>2079</v>
      </c>
    </row>
    <row r="300">
      <c r="A300" s="21" t="s">
        <v>2199</v>
      </c>
      <c r="B300" s="21" t="s">
        <v>2200</v>
      </c>
    </row>
    <row r="301">
      <c r="A301" s="21" t="s">
        <v>2201</v>
      </c>
      <c r="B301" s="21" t="s">
        <v>2202</v>
      </c>
    </row>
    <row r="302">
      <c r="A302" s="21" t="s">
        <v>2203</v>
      </c>
      <c r="B302" s="21" t="s">
        <v>2204</v>
      </c>
    </row>
    <row r="303">
      <c r="A303" s="21" t="s">
        <v>2205</v>
      </c>
      <c r="B303" s="21" t="s">
        <v>2100</v>
      </c>
    </row>
    <row r="304">
      <c r="A304" s="21" t="s">
        <v>2206</v>
      </c>
      <c r="B304" s="21" t="s">
        <v>1957</v>
      </c>
    </row>
    <row r="305">
      <c r="A305" s="21" t="s">
        <v>2207</v>
      </c>
      <c r="B305" s="21" t="s">
        <v>2003</v>
      </c>
    </row>
    <row r="306">
      <c r="A306" s="21" t="s">
        <v>2208</v>
      </c>
      <c r="B306" s="21" t="s">
        <v>2209</v>
      </c>
    </row>
    <row r="307">
      <c r="A307" s="21" t="s">
        <v>2210</v>
      </c>
      <c r="B307" s="21" t="s">
        <v>2211</v>
      </c>
    </row>
    <row r="308">
      <c r="A308" s="21" t="s">
        <v>2212</v>
      </c>
      <c r="B308" s="21" t="s">
        <v>2172</v>
      </c>
    </row>
    <row r="309">
      <c r="A309" s="21" t="s">
        <v>2213</v>
      </c>
      <c r="B309" s="21" t="s">
        <v>1950</v>
      </c>
    </row>
    <row r="310">
      <c r="A310" s="21" t="s">
        <v>2214</v>
      </c>
      <c r="B310" s="21" t="s">
        <v>2215</v>
      </c>
    </row>
    <row r="311">
      <c r="A311" s="21" t="s">
        <v>2216</v>
      </c>
      <c r="B311" s="21" t="s">
        <v>2217</v>
      </c>
    </row>
    <row r="312">
      <c r="A312" s="21" t="s">
        <v>2218</v>
      </c>
      <c r="B312" s="21" t="s">
        <v>1900</v>
      </c>
    </row>
    <row r="313">
      <c r="A313" s="21" t="s">
        <v>2219</v>
      </c>
      <c r="B313" s="21" t="s">
        <v>2035</v>
      </c>
    </row>
    <row r="314">
      <c r="A314" s="21" t="s">
        <v>2220</v>
      </c>
      <c r="B314" s="21" t="s">
        <v>2221</v>
      </c>
    </row>
    <row r="315">
      <c r="A315" s="21" t="s">
        <v>2222</v>
      </c>
      <c r="B315" s="21" t="s">
        <v>2043</v>
      </c>
    </row>
    <row r="316">
      <c r="A316" s="21" t="s">
        <v>2223</v>
      </c>
      <c r="B316" s="21" t="s">
        <v>2183</v>
      </c>
    </row>
    <row r="317">
      <c r="A317" s="21" t="s">
        <v>2224</v>
      </c>
      <c r="B317" s="21" t="s">
        <v>2225</v>
      </c>
    </row>
    <row r="318">
      <c r="A318" s="21" t="s">
        <v>2226</v>
      </c>
      <c r="B318" s="21" t="s">
        <v>2073</v>
      </c>
    </row>
    <row r="319">
      <c r="A319" s="21" t="s">
        <v>2227</v>
      </c>
      <c r="B319" s="21" t="s">
        <v>2195</v>
      </c>
    </row>
    <row r="320">
      <c r="A320" s="21" t="s">
        <v>2228</v>
      </c>
      <c r="B320" s="21" t="s">
        <v>1957</v>
      </c>
    </row>
    <row r="321">
      <c r="A321" s="21" t="s">
        <v>2229</v>
      </c>
      <c r="B321" s="21" t="s">
        <v>2005</v>
      </c>
    </row>
    <row r="322">
      <c r="A322" s="21" t="s">
        <v>2230</v>
      </c>
      <c r="B322" s="21" t="s">
        <v>2231</v>
      </c>
    </row>
    <row r="323">
      <c r="A323" s="21" t="s">
        <v>2232</v>
      </c>
      <c r="B323" s="21" t="s">
        <v>1957</v>
      </c>
    </row>
    <row r="324">
      <c r="A324" s="21" t="s">
        <v>2233</v>
      </c>
      <c r="B324" s="21" t="s">
        <v>2234</v>
      </c>
    </row>
    <row r="325">
      <c r="A325" s="21" t="s">
        <v>2235</v>
      </c>
      <c r="B325" s="21" t="s">
        <v>2236</v>
      </c>
    </row>
    <row r="326">
      <c r="A326" s="21" t="s">
        <v>2237</v>
      </c>
      <c r="B326" s="21" t="s">
        <v>2088</v>
      </c>
    </row>
    <row r="327">
      <c r="A327" s="21" t="s">
        <v>2238</v>
      </c>
      <c r="B327" s="21" t="s">
        <v>2239</v>
      </c>
    </row>
    <row r="328">
      <c r="A328" s="21" t="s">
        <v>2240</v>
      </c>
      <c r="B328" s="21" t="s">
        <v>2241</v>
      </c>
    </row>
    <row r="329">
      <c r="A329" s="21" t="s">
        <v>2242</v>
      </c>
      <c r="B329" s="21" t="s">
        <v>2243</v>
      </c>
    </row>
    <row r="330">
      <c r="A330" s="21" t="s">
        <v>2244</v>
      </c>
      <c r="B330" s="21" t="s">
        <v>2245</v>
      </c>
    </row>
    <row r="331">
      <c r="A331" s="21" t="s">
        <v>2246</v>
      </c>
      <c r="B331" s="21" t="s">
        <v>2079</v>
      </c>
    </row>
    <row r="332">
      <c r="A332" s="21" t="s">
        <v>2247</v>
      </c>
      <c r="B332" s="21" t="s">
        <v>2248</v>
      </c>
    </row>
    <row r="333">
      <c r="A333" s="21" t="s">
        <v>2249</v>
      </c>
      <c r="B333" s="21" t="s">
        <v>2137</v>
      </c>
    </row>
    <row r="334">
      <c r="A334" s="21" t="s">
        <v>2250</v>
      </c>
      <c r="B334" s="21" t="s">
        <v>2251</v>
      </c>
    </row>
    <row r="335">
      <c r="A335" s="21" t="s">
        <v>2252</v>
      </c>
      <c r="B335" s="21" t="s">
        <v>2253</v>
      </c>
    </row>
    <row r="336">
      <c r="A336" s="21" t="s">
        <v>2254</v>
      </c>
      <c r="B336" s="21" t="s">
        <v>2204</v>
      </c>
    </row>
    <row r="337">
      <c r="A337" s="21" t="s">
        <v>2255</v>
      </c>
      <c r="B337" s="21" t="s">
        <v>2209</v>
      </c>
    </row>
    <row r="338">
      <c r="A338" s="21" t="s">
        <v>2256</v>
      </c>
      <c r="B338" s="21" t="s">
        <v>2162</v>
      </c>
    </row>
    <row r="339">
      <c r="A339" s="21" t="s">
        <v>2257</v>
      </c>
      <c r="B339" s="21" t="s">
        <v>2003</v>
      </c>
    </row>
    <row r="340">
      <c r="A340" s="21" t="s">
        <v>2258</v>
      </c>
      <c r="B340" s="21" t="s">
        <v>2192</v>
      </c>
    </row>
    <row r="341">
      <c r="A341" s="21" t="s">
        <v>2259</v>
      </c>
      <c r="B341" s="21" t="s">
        <v>1924</v>
      </c>
    </row>
    <row r="342">
      <c r="A342" s="21" t="s">
        <v>2260</v>
      </c>
      <c r="B342" s="21" t="s">
        <v>1957</v>
      </c>
    </row>
    <row r="343">
      <c r="A343" s="21" t="s">
        <v>2261</v>
      </c>
      <c r="B343" s="21" t="s">
        <v>2079</v>
      </c>
    </row>
    <row r="344">
      <c r="A344" s="21" t="s">
        <v>2262</v>
      </c>
      <c r="B344" s="21" t="s">
        <v>2263</v>
      </c>
    </row>
    <row r="345">
      <c r="A345" s="21" t="s">
        <v>2264</v>
      </c>
      <c r="B345" s="21" t="s">
        <v>2265</v>
      </c>
    </row>
    <row r="346">
      <c r="A346" s="21" t="s">
        <v>2266</v>
      </c>
      <c r="B346" s="21" t="s">
        <v>2267</v>
      </c>
    </row>
    <row r="347">
      <c r="A347" s="21" t="s">
        <v>2268</v>
      </c>
      <c r="B347" s="21" t="s">
        <v>2204</v>
      </c>
    </row>
    <row r="348">
      <c r="A348" s="21" t="s">
        <v>2269</v>
      </c>
      <c r="B348" s="21" t="s">
        <v>2100</v>
      </c>
    </row>
    <row r="349">
      <c r="A349" s="21" t="s">
        <v>2270</v>
      </c>
      <c r="B349" s="21" t="s">
        <v>2271</v>
      </c>
    </row>
    <row r="350">
      <c r="A350" s="21" t="s">
        <v>2272</v>
      </c>
      <c r="B350" s="21" t="s">
        <v>2273</v>
      </c>
    </row>
    <row r="351">
      <c r="A351" s="21" t="s">
        <v>2274</v>
      </c>
      <c r="B351" s="21" t="s">
        <v>2275</v>
      </c>
    </row>
    <row r="352">
      <c r="A352" s="21" t="s">
        <v>2276</v>
      </c>
      <c r="B352" s="21" t="s">
        <v>2195</v>
      </c>
    </row>
    <row r="353">
      <c r="A353" s="21" t="s">
        <v>2277</v>
      </c>
      <c r="B353" s="21" t="s">
        <v>2241</v>
      </c>
    </row>
    <row r="354">
      <c r="A354" s="21" t="s">
        <v>2278</v>
      </c>
      <c r="B354" s="21" t="s">
        <v>2279</v>
      </c>
    </row>
    <row r="355">
      <c r="A355" s="21" t="s">
        <v>2280</v>
      </c>
      <c r="B355" s="21" t="s">
        <v>2281</v>
      </c>
    </row>
    <row r="356">
      <c r="A356" s="21" t="s">
        <v>2282</v>
      </c>
      <c r="B356" s="21" t="s">
        <v>2243</v>
      </c>
    </row>
    <row r="357">
      <c r="A357" s="21" t="s">
        <v>2283</v>
      </c>
      <c r="B357" s="21" t="s">
        <v>2284</v>
      </c>
    </row>
    <row r="358">
      <c r="A358" s="21" t="s">
        <v>2285</v>
      </c>
      <c r="B358" s="21" t="s">
        <v>1957</v>
      </c>
    </row>
    <row r="359">
      <c r="A359" s="21" t="s">
        <v>2286</v>
      </c>
      <c r="B359" s="21" t="s">
        <v>2137</v>
      </c>
    </row>
    <row r="360">
      <c r="A360" s="21" t="s">
        <v>2287</v>
      </c>
      <c r="B360" s="21" t="s">
        <v>2192</v>
      </c>
    </row>
    <row r="361">
      <c r="A361" s="21" t="s">
        <v>2288</v>
      </c>
      <c r="B361" s="21" t="s">
        <v>2289</v>
      </c>
    </row>
    <row r="362">
      <c r="A362" s="21" t="s">
        <v>2290</v>
      </c>
      <c r="B362" s="21" t="s">
        <v>2291</v>
      </c>
    </row>
    <row r="363">
      <c r="A363" s="21" t="s">
        <v>2292</v>
      </c>
      <c r="B363" s="21" t="s">
        <v>2293</v>
      </c>
    </row>
    <row r="364">
      <c r="A364" s="21" t="s">
        <v>2294</v>
      </c>
      <c r="B364" s="21" t="s">
        <v>2295</v>
      </c>
    </row>
    <row r="365">
      <c r="A365" s="21" t="s">
        <v>2296</v>
      </c>
      <c r="B365" s="21" t="s">
        <v>2231</v>
      </c>
    </row>
    <row r="366">
      <c r="A366" s="21" t="s">
        <v>2297</v>
      </c>
      <c r="B366" s="21" t="s">
        <v>2236</v>
      </c>
    </row>
    <row r="367">
      <c r="A367" s="21" t="s">
        <v>2298</v>
      </c>
      <c r="B367" s="21" t="s">
        <v>2079</v>
      </c>
    </row>
    <row r="368">
      <c r="A368" s="21" t="s">
        <v>2299</v>
      </c>
      <c r="B368" s="21" t="s">
        <v>2300</v>
      </c>
    </row>
    <row r="369">
      <c r="A369" s="21" t="s">
        <v>2301</v>
      </c>
      <c r="B369" s="21" t="s">
        <v>1972</v>
      </c>
    </row>
    <row r="370">
      <c r="A370" s="21" t="s">
        <v>2302</v>
      </c>
      <c r="B370" s="21" t="s">
        <v>2303</v>
      </c>
    </row>
    <row r="371">
      <c r="A371" s="21" t="s">
        <v>2304</v>
      </c>
      <c r="B371" s="21" t="s">
        <v>2305</v>
      </c>
    </row>
    <row r="372">
      <c r="A372" s="21" t="s">
        <v>2306</v>
      </c>
      <c r="B372" s="21" t="s">
        <v>1950</v>
      </c>
    </row>
    <row r="373">
      <c r="A373" s="21" t="s">
        <v>2307</v>
      </c>
      <c r="B373" s="21" t="s">
        <v>2088</v>
      </c>
    </row>
    <row r="374">
      <c r="A374" s="21" t="s">
        <v>2308</v>
      </c>
      <c r="B374" s="21" t="s">
        <v>2309</v>
      </c>
    </row>
    <row r="375">
      <c r="A375" s="21" t="s">
        <v>2310</v>
      </c>
      <c r="B375" s="21" t="s">
        <v>2043</v>
      </c>
    </row>
    <row r="376">
      <c r="A376" s="21" t="s">
        <v>2311</v>
      </c>
      <c r="B376" s="21" t="s">
        <v>2217</v>
      </c>
    </row>
    <row r="377">
      <c r="A377" s="21" t="s">
        <v>2312</v>
      </c>
      <c r="B377" s="21" t="s">
        <v>2313</v>
      </c>
    </row>
    <row r="378">
      <c r="A378" s="21" t="s">
        <v>2314</v>
      </c>
      <c r="B378" s="11" t="s">
        <v>2315</v>
      </c>
    </row>
    <row r="379">
      <c r="A379" s="11" t="s">
        <v>2316</v>
      </c>
      <c r="B379" s="11" t="s">
        <v>2317</v>
      </c>
    </row>
    <row r="380">
      <c r="A380" s="21" t="s">
        <v>2318</v>
      </c>
      <c r="B380" s="21" t="s">
        <v>2291</v>
      </c>
    </row>
    <row r="381">
      <c r="A381" s="21" t="s">
        <v>2319</v>
      </c>
      <c r="B381" s="21" t="s">
        <v>2320</v>
      </c>
    </row>
    <row r="382">
      <c r="A382" s="21" t="s">
        <v>2321</v>
      </c>
      <c r="B382" s="21" t="s">
        <v>2281</v>
      </c>
    </row>
    <row r="383">
      <c r="A383" s="21" t="s">
        <v>2322</v>
      </c>
      <c r="B383" s="21" t="s">
        <v>2263</v>
      </c>
    </row>
    <row r="384">
      <c r="A384" s="21" t="s">
        <v>2323</v>
      </c>
      <c r="B384" s="21" t="s">
        <v>2172</v>
      </c>
    </row>
    <row r="385">
      <c r="A385" s="21" t="s">
        <v>2324</v>
      </c>
      <c r="B385" s="21" t="s">
        <v>2325</v>
      </c>
    </row>
    <row r="386">
      <c r="A386" s="21" t="s">
        <v>2326</v>
      </c>
      <c r="B386" s="21" t="s">
        <v>2327</v>
      </c>
    </row>
    <row r="387">
      <c r="A387" s="21" t="s">
        <v>2328</v>
      </c>
      <c r="B387" s="21" t="s">
        <v>2329</v>
      </c>
    </row>
    <row r="388">
      <c r="A388" s="21" t="s">
        <v>2330</v>
      </c>
      <c r="B388" s="21" t="s">
        <v>2331</v>
      </c>
    </row>
    <row r="389">
      <c r="A389" s="21" t="s">
        <v>2332</v>
      </c>
      <c r="B389" s="21" t="s">
        <v>2333</v>
      </c>
    </row>
    <row r="390">
      <c r="A390" s="21" t="s">
        <v>2334</v>
      </c>
      <c r="B390" s="21" t="s">
        <v>2003</v>
      </c>
    </row>
    <row r="391">
      <c r="A391" s="21" t="s">
        <v>2335</v>
      </c>
      <c r="B391" s="21" t="s">
        <v>2336</v>
      </c>
    </row>
    <row r="392">
      <c r="A392" s="21" t="s">
        <v>2337</v>
      </c>
      <c r="B392" s="21" t="s">
        <v>2251</v>
      </c>
    </row>
    <row r="393">
      <c r="A393" s="21" t="s">
        <v>2338</v>
      </c>
      <c r="B393" s="21" t="s">
        <v>2339</v>
      </c>
    </row>
    <row r="394">
      <c r="A394" s="21" t="s">
        <v>2340</v>
      </c>
      <c r="B394" s="21" t="s">
        <v>2234</v>
      </c>
    </row>
    <row r="395">
      <c r="A395" s="21" t="s">
        <v>2341</v>
      </c>
      <c r="B395" s="21" t="s">
        <v>2195</v>
      </c>
    </row>
    <row r="396">
      <c r="A396" s="21" t="s">
        <v>2342</v>
      </c>
      <c r="B396" s="21" t="s">
        <v>2271</v>
      </c>
    </row>
    <row r="397">
      <c r="A397" s="21" t="s">
        <v>2343</v>
      </c>
      <c r="B397" s="21" t="s">
        <v>1972</v>
      </c>
    </row>
    <row r="398">
      <c r="A398" s="21" t="s">
        <v>2344</v>
      </c>
      <c r="B398" s="21" t="s">
        <v>2153</v>
      </c>
    </row>
    <row r="399">
      <c r="A399" s="21" t="s">
        <v>2345</v>
      </c>
      <c r="B399" s="21" t="s">
        <v>2346</v>
      </c>
    </row>
    <row r="400">
      <c r="A400" s="21" t="s">
        <v>2347</v>
      </c>
      <c r="B400" s="21" t="s">
        <v>2348</v>
      </c>
    </row>
    <row r="401">
      <c r="A401" s="21" t="s">
        <v>2349</v>
      </c>
      <c r="B401" s="21" t="s">
        <v>2350</v>
      </c>
    </row>
    <row r="402">
      <c r="A402" s="21" t="s">
        <v>2351</v>
      </c>
      <c r="B402" s="21" t="s">
        <v>2352</v>
      </c>
    </row>
    <row r="403">
      <c r="A403" s="21" t="s">
        <v>2353</v>
      </c>
      <c r="B403" s="21" t="s">
        <v>2209</v>
      </c>
    </row>
    <row r="404">
      <c r="A404" s="21" t="s">
        <v>2354</v>
      </c>
      <c r="B404" s="21" t="s">
        <v>2355</v>
      </c>
    </row>
    <row r="405">
      <c r="A405" s="21" t="s">
        <v>2356</v>
      </c>
      <c r="B405" s="21" t="s">
        <v>2005</v>
      </c>
    </row>
    <row r="406">
      <c r="A406" s="21" t="s">
        <v>2357</v>
      </c>
      <c r="B406" s="21" t="s">
        <v>2284</v>
      </c>
    </row>
    <row r="407">
      <c r="A407" s="21" t="s">
        <v>2358</v>
      </c>
      <c r="B407" s="21" t="s">
        <v>2035</v>
      </c>
    </row>
    <row r="408">
      <c r="A408" s="21" t="s">
        <v>2359</v>
      </c>
      <c r="B408" s="21" t="s">
        <v>1957</v>
      </c>
    </row>
    <row r="409">
      <c r="A409" s="21" t="s">
        <v>2360</v>
      </c>
      <c r="B409" s="21" t="s">
        <v>2300</v>
      </c>
    </row>
    <row r="410">
      <c r="A410" s="21" t="s">
        <v>2361</v>
      </c>
      <c r="B410" s="21" t="s">
        <v>2362</v>
      </c>
    </row>
    <row r="411">
      <c r="A411" s="21" t="s">
        <v>2363</v>
      </c>
      <c r="B411" s="21" t="s">
        <v>2364</v>
      </c>
    </row>
    <row r="412">
      <c r="A412" s="21" t="s">
        <v>2365</v>
      </c>
      <c r="B412" s="21" t="s">
        <v>2366</v>
      </c>
    </row>
    <row r="413">
      <c r="A413" s="21" t="s">
        <v>2367</v>
      </c>
      <c r="B413" s="21" t="s">
        <v>2368</v>
      </c>
    </row>
    <row r="414">
      <c r="A414" s="21" t="s">
        <v>2369</v>
      </c>
      <c r="B414" s="21" t="s">
        <v>2370</v>
      </c>
    </row>
    <row r="415">
      <c r="A415" s="21" t="s">
        <v>2371</v>
      </c>
      <c r="B415" s="21" t="s">
        <v>2079</v>
      </c>
    </row>
    <row r="416">
      <c r="A416" s="21" t="s">
        <v>2372</v>
      </c>
      <c r="B416" s="21" t="s">
        <v>2137</v>
      </c>
    </row>
    <row r="417">
      <c r="A417" s="21" t="s">
        <v>2373</v>
      </c>
      <c r="B417" s="21" t="s">
        <v>1900</v>
      </c>
    </row>
    <row r="418">
      <c r="A418" s="21" t="s">
        <v>2374</v>
      </c>
      <c r="B418" s="21" t="s">
        <v>2375</v>
      </c>
    </row>
    <row r="419">
      <c r="A419" s="21" t="s">
        <v>2376</v>
      </c>
      <c r="B419" s="21" t="s">
        <v>2377</v>
      </c>
    </row>
    <row r="420">
      <c r="A420" s="21" t="s">
        <v>2378</v>
      </c>
      <c r="B420" s="21" t="s">
        <v>2231</v>
      </c>
    </row>
    <row r="421">
      <c r="A421" s="21" t="s">
        <v>2379</v>
      </c>
      <c r="B421" s="21" t="s">
        <v>2073</v>
      </c>
    </row>
    <row r="422">
      <c r="A422" s="21" t="s">
        <v>2380</v>
      </c>
      <c r="B422" s="21" t="s">
        <v>2381</v>
      </c>
    </row>
    <row r="423">
      <c r="A423" s="21" t="s">
        <v>2382</v>
      </c>
      <c r="B423" s="21" t="s">
        <v>2383</v>
      </c>
    </row>
    <row r="424">
      <c r="A424" s="21" t="s">
        <v>2384</v>
      </c>
      <c r="B424" s="21" t="s">
        <v>2200</v>
      </c>
    </row>
    <row r="425">
      <c r="A425" s="21" t="s">
        <v>2385</v>
      </c>
      <c r="B425" s="21" t="s">
        <v>2241</v>
      </c>
    </row>
    <row r="426">
      <c r="A426" s="21" t="s">
        <v>2386</v>
      </c>
      <c r="B426" s="21" t="s">
        <v>2387</v>
      </c>
    </row>
    <row r="427">
      <c r="A427" s="21" t="s">
        <v>2388</v>
      </c>
      <c r="B427" s="21" t="s">
        <v>2281</v>
      </c>
    </row>
    <row r="428">
      <c r="A428" s="21" t="s">
        <v>2389</v>
      </c>
      <c r="B428" s="21" t="s">
        <v>2153</v>
      </c>
    </row>
    <row r="429">
      <c r="A429" s="21" t="s">
        <v>2390</v>
      </c>
      <c r="B429" s="21" t="s">
        <v>2088</v>
      </c>
    </row>
    <row r="430">
      <c r="A430" s="21" t="s">
        <v>2391</v>
      </c>
      <c r="B430" s="21" t="s">
        <v>1957</v>
      </c>
    </row>
    <row r="431">
      <c r="A431" s="21" t="s">
        <v>2392</v>
      </c>
      <c r="B431" s="21" t="s">
        <v>2100</v>
      </c>
    </row>
    <row r="432">
      <c r="A432" s="21" t="s">
        <v>2393</v>
      </c>
      <c r="B432" s="21" t="s">
        <v>2394</v>
      </c>
    </row>
    <row r="433">
      <c r="A433" s="21" t="s">
        <v>2395</v>
      </c>
      <c r="B433" s="21" t="s">
        <v>2396</v>
      </c>
    </row>
    <row r="434">
      <c r="A434" s="21" t="s">
        <v>2397</v>
      </c>
      <c r="B434" s="21" t="s">
        <v>2267</v>
      </c>
    </row>
    <row r="435">
      <c r="A435" s="21" t="s">
        <v>2398</v>
      </c>
      <c r="B435" s="21" t="s">
        <v>2355</v>
      </c>
    </row>
    <row r="436">
      <c r="A436" s="21" t="s">
        <v>2399</v>
      </c>
      <c r="B436" s="21" t="s">
        <v>2348</v>
      </c>
    </row>
    <row r="437">
      <c r="A437" s="21" t="s">
        <v>2400</v>
      </c>
      <c r="B437" s="21" t="s">
        <v>2195</v>
      </c>
    </row>
    <row r="438">
      <c r="A438" s="21" t="s">
        <v>2401</v>
      </c>
      <c r="B438" s="21" t="s">
        <v>2402</v>
      </c>
    </row>
    <row r="439">
      <c r="A439" s="21" t="s">
        <v>2403</v>
      </c>
      <c r="B439" s="21" t="s">
        <v>2217</v>
      </c>
    </row>
    <row r="440">
      <c r="A440" s="21" t="s">
        <v>2404</v>
      </c>
      <c r="B440" s="11" t="s">
        <v>2141</v>
      </c>
    </row>
    <row r="441">
      <c r="A441" s="21" t="s">
        <v>2405</v>
      </c>
      <c r="B441" s="11" t="s">
        <v>2243</v>
      </c>
    </row>
    <row r="442">
      <c r="A442" s="21" t="s">
        <v>2406</v>
      </c>
      <c r="B442" s="21" t="s">
        <v>2236</v>
      </c>
    </row>
    <row r="443">
      <c r="A443" s="21" t="s">
        <v>2407</v>
      </c>
      <c r="B443" s="21" t="s">
        <v>2339</v>
      </c>
    </row>
    <row r="444">
      <c r="A444" s="21" t="s">
        <v>2408</v>
      </c>
      <c r="B444" s="21" t="s">
        <v>2320</v>
      </c>
    </row>
    <row r="445">
      <c r="A445" s="21" t="s">
        <v>2409</v>
      </c>
      <c r="B445" s="21" t="s">
        <v>2275</v>
      </c>
    </row>
    <row r="446">
      <c r="A446" s="21" t="s">
        <v>2410</v>
      </c>
      <c r="B446" s="21" t="s">
        <v>2313</v>
      </c>
    </row>
    <row r="447">
      <c r="A447" s="21" t="s">
        <v>2411</v>
      </c>
      <c r="B447" s="21" t="s">
        <v>2043</v>
      </c>
    </row>
    <row r="448">
      <c r="A448" s="21" t="s">
        <v>2412</v>
      </c>
      <c r="B448" s="21" t="s">
        <v>2383</v>
      </c>
    </row>
    <row r="449">
      <c r="A449" s="21" t="s">
        <v>2413</v>
      </c>
      <c r="B449" s="21" t="s">
        <v>2079</v>
      </c>
    </row>
    <row r="450">
      <c r="A450" s="21" t="s">
        <v>2414</v>
      </c>
      <c r="B450" s="21" t="s">
        <v>2415</v>
      </c>
    </row>
    <row r="451">
      <c r="A451" s="21" t="s">
        <v>2416</v>
      </c>
      <c r="B451" s="21" t="s">
        <v>2417</v>
      </c>
    </row>
    <row r="452">
      <c r="A452" s="21" t="s">
        <v>2418</v>
      </c>
      <c r="B452" s="21" t="s">
        <v>2419</v>
      </c>
    </row>
    <row r="453">
      <c r="A453" s="21" t="s">
        <v>2420</v>
      </c>
      <c r="B453" s="21" t="s">
        <v>2421</v>
      </c>
    </row>
    <row r="454">
      <c r="A454" s="21" t="s">
        <v>2422</v>
      </c>
      <c r="B454" s="21" t="s">
        <v>2192</v>
      </c>
    </row>
    <row r="455">
      <c r="A455" s="21" t="s">
        <v>2423</v>
      </c>
      <c r="B455" s="21" t="s">
        <v>2424</v>
      </c>
    </row>
    <row r="456">
      <c r="A456" s="21" t="s">
        <v>2425</v>
      </c>
      <c r="B456" s="21" t="s">
        <v>2426</v>
      </c>
    </row>
    <row r="457">
      <c r="A457" s="21" t="s">
        <v>2427</v>
      </c>
      <c r="B457" s="21" t="s">
        <v>2234</v>
      </c>
    </row>
    <row r="458">
      <c r="A458" s="21" t="s">
        <v>2428</v>
      </c>
      <c r="B458" s="21" t="s">
        <v>2429</v>
      </c>
    </row>
    <row r="459">
      <c r="A459" s="21" t="s">
        <v>2430</v>
      </c>
      <c r="B459" s="21" t="s">
        <v>2271</v>
      </c>
    </row>
    <row r="460">
      <c r="A460" s="21" t="s">
        <v>2431</v>
      </c>
      <c r="B460" s="21" t="s">
        <v>2209</v>
      </c>
    </row>
    <row r="461">
      <c r="A461" s="21" t="s">
        <v>2432</v>
      </c>
      <c r="B461" s="21" t="s">
        <v>2433</v>
      </c>
    </row>
    <row r="462">
      <c r="A462" s="21" t="s">
        <v>2434</v>
      </c>
      <c r="B462" s="21" t="s">
        <v>2293</v>
      </c>
    </row>
    <row r="463">
      <c r="A463" s="21" t="s">
        <v>2435</v>
      </c>
      <c r="B463" s="21" t="s">
        <v>2309</v>
      </c>
    </row>
    <row r="464">
      <c r="A464" s="21" t="s">
        <v>2436</v>
      </c>
      <c r="B464" s="21" t="s">
        <v>1950</v>
      </c>
    </row>
    <row r="465">
      <c r="A465" s="21" t="s">
        <v>2437</v>
      </c>
      <c r="B465" s="21" t="s">
        <v>2438</v>
      </c>
    </row>
    <row r="466">
      <c r="A466" s="21" t="s">
        <v>2439</v>
      </c>
      <c r="B466" s="11" t="s">
        <v>2355</v>
      </c>
    </row>
    <row r="467">
      <c r="A467" s="21" t="s">
        <v>2440</v>
      </c>
      <c r="B467" s="21" t="s">
        <v>2441</v>
      </c>
    </row>
    <row r="468">
      <c r="A468" s="21" t="s">
        <v>2442</v>
      </c>
      <c r="B468" s="21" t="s">
        <v>2443</v>
      </c>
    </row>
    <row r="469">
      <c r="A469" s="21" t="s">
        <v>2444</v>
      </c>
      <c r="B469" s="21" t="s">
        <v>2003</v>
      </c>
    </row>
    <row r="470">
      <c r="A470" s="21" t="s">
        <v>2445</v>
      </c>
      <c r="B470" s="21" t="s">
        <v>2446</v>
      </c>
    </row>
    <row r="471">
      <c r="A471" s="21" t="s">
        <v>2447</v>
      </c>
      <c r="B471" s="21" t="s">
        <v>2336</v>
      </c>
    </row>
    <row r="472">
      <c r="A472" s="21" t="s">
        <v>2448</v>
      </c>
      <c r="B472" s="21" t="s">
        <v>2172</v>
      </c>
    </row>
    <row r="473">
      <c r="A473" s="21" t="s">
        <v>2449</v>
      </c>
      <c r="B473" s="21" t="s">
        <v>2450</v>
      </c>
    </row>
    <row r="474">
      <c r="A474" s="21" t="s">
        <v>2451</v>
      </c>
      <c r="B474" s="21" t="s">
        <v>2396</v>
      </c>
    </row>
    <row r="475">
      <c r="A475" s="21" t="s">
        <v>2452</v>
      </c>
      <c r="B475" s="21" t="s">
        <v>2453</v>
      </c>
    </row>
    <row r="476">
      <c r="A476" s="21" t="s">
        <v>2454</v>
      </c>
      <c r="B476" s="21" t="s">
        <v>2281</v>
      </c>
    </row>
    <row r="477">
      <c r="A477" s="21" t="s">
        <v>2455</v>
      </c>
      <c r="B477" s="21" t="s">
        <v>2456</v>
      </c>
    </row>
    <row r="478">
      <c r="A478" s="21" t="s">
        <v>2457</v>
      </c>
      <c r="B478" s="21" t="s">
        <v>2458</v>
      </c>
    </row>
    <row r="479">
      <c r="A479" s="21" t="s">
        <v>2459</v>
      </c>
      <c r="B479" s="11" t="s">
        <v>2460</v>
      </c>
    </row>
    <row r="480">
      <c r="A480" s="21" t="s">
        <v>2461</v>
      </c>
      <c r="B480" s="21" t="s">
        <v>2331</v>
      </c>
    </row>
    <row r="481">
      <c r="A481" s="21" t="s">
        <v>2462</v>
      </c>
      <c r="B481" s="21" t="s">
        <v>2370</v>
      </c>
    </row>
    <row r="482">
      <c r="A482" s="21" t="s">
        <v>2463</v>
      </c>
      <c r="B482" s="21" t="s">
        <v>2464</v>
      </c>
    </row>
    <row r="483">
      <c r="A483" s="21" t="s">
        <v>2465</v>
      </c>
      <c r="B483" s="21" t="s">
        <v>2466</v>
      </c>
    </row>
    <row r="484">
      <c r="A484" s="21" t="s">
        <v>2467</v>
      </c>
      <c r="B484" s="21" t="s">
        <v>2348</v>
      </c>
    </row>
    <row r="485">
      <c r="A485" s="21" t="s">
        <v>2468</v>
      </c>
      <c r="B485" s="21" t="s">
        <v>2469</v>
      </c>
    </row>
    <row r="486">
      <c r="A486" s="21" t="s">
        <v>2470</v>
      </c>
      <c r="B486" s="21" t="s">
        <v>2471</v>
      </c>
    </row>
    <row r="487">
      <c r="A487" s="21" t="s">
        <v>2472</v>
      </c>
      <c r="B487" s="21" t="s">
        <v>2417</v>
      </c>
    </row>
    <row r="488">
      <c r="A488" s="21" t="s">
        <v>2473</v>
      </c>
      <c r="B488" s="21" t="s">
        <v>2202</v>
      </c>
    </row>
    <row r="489">
      <c r="A489" s="21" t="s">
        <v>2474</v>
      </c>
      <c r="B489" s="21" t="s">
        <v>2387</v>
      </c>
    </row>
    <row r="490">
      <c r="A490" s="21" t="s">
        <v>2475</v>
      </c>
      <c r="B490" s="21" t="s">
        <v>2450</v>
      </c>
    </row>
    <row r="491">
      <c r="A491" s="21" t="s">
        <v>2476</v>
      </c>
      <c r="B491" s="21" t="s">
        <v>2162</v>
      </c>
    </row>
    <row r="492">
      <c r="A492" s="21" t="s">
        <v>2477</v>
      </c>
      <c r="B492" s="21" t="s">
        <v>2043</v>
      </c>
    </row>
    <row r="493">
      <c r="A493" s="21" t="s">
        <v>2478</v>
      </c>
      <c r="B493" s="21" t="s">
        <v>2479</v>
      </c>
    </row>
    <row r="494">
      <c r="A494" s="21" t="s">
        <v>2480</v>
      </c>
      <c r="B494" s="21" t="s">
        <v>2421</v>
      </c>
    </row>
    <row r="495">
      <c r="A495" s="21" t="s">
        <v>2481</v>
      </c>
      <c r="B495" s="21" t="s">
        <v>2088</v>
      </c>
    </row>
    <row r="496">
      <c r="A496" s="21" t="s">
        <v>2482</v>
      </c>
      <c r="B496" s="21" t="s">
        <v>2483</v>
      </c>
    </row>
    <row r="497">
      <c r="A497" s="21" t="s">
        <v>2484</v>
      </c>
      <c r="B497" s="21" t="s">
        <v>2485</v>
      </c>
    </row>
    <row r="498">
      <c r="A498" s="21" t="s">
        <v>2486</v>
      </c>
      <c r="B498" s="21" t="s">
        <v>2331</v>
      </c>
    </row>
    <row r="499">
      <c r="A499" s="21" t="s">
        <v>2487</v>
      </c>
      <c r="B499" s="21" t="s">
        <v>2243</v>
      </c>
    </row>
    <row r="500">
      <c r="A500" s="21" t="s">
        <v>2488</v>
      </c>
      <c r="B500" s="21" t="s">
        <v>2035</v>
      </c>
    </row>
    <row r="501">
      <c r="A501" s="21" t="s">
        <v>2489</v>
      </c>
      <c r="B501" s="21" t="s">
        <v>2490</v>
      </c>
    </row>
    <row r="502">
      <c r="A502" s="21" t="s">
        <v>2491</v>
      </c>
      <c r="B502" s="21" t="s">
        <v>2073</v>
      </c>
    </row>
    <row r="503">
      <c r="A503" s="21" t="s">
        <v>2492</v>
      </c>
      <c r="B503" s="21" t="s">
        <v>2275</v>
      </c>
    </row>
    <row r="504">
      <c r="A504" s="21" t="s">
        <v>2493</v>
      </c>
      <c r="B504" s="21" t="s">
        <v>2494</v>
      </c>
    </row>
    <row r="505">
      <c r="A505" s="21" t="s">
        <v>2495</v>
      </c>
      <c r="B505" s="21" t="s">
        <v>2460</v>
      </c>
    </row>
    <row r="506">
      <c r="A506" s="21" t="s">
        <v>2496</v>
      </c>
      <c r="B506" s="21" t="s">
        <v>1957</v>
      </c>
    </row>
    <row r="507">
      <c r="A507" s="21" t="s">
        <v>2497</v>
      </c>
      <c r="B507" s="21" t="s">
        <v>2079</v>
      </c>
    </row>
    <row r="508">
      <c r="A508" s="21" t="s">
        <v>2498</v>
      </c>
      <c r="B508" s="21" t="s">
        <v>2499</v>
      </c>
    </row>
    <row r="509">
      <c r="A509" s="21" t="s">
        <v>2500</v>
      </c>
      <c r="B509" s="21" t="s">
        <v>2271</v>
      </c>
    </row>
    <row r="510">
      <c r="A510" s="21" t="s">
        <v>2501</v>
      </c>
      <c r="B510" s="21" t="s">
        <v>2502</v>
      </c>
    </row>
    <row r="511">
      <c r="A511" s="21" t="s">
        <v>2503</v>
      </c>
      <c r="B511" s="11" t="s">
        <v>2200</v>
      </c>
    </row>
    <row r="512">
      <c r="A512" s="21" t="s">
        <v>2504</v>
      </c>
      <c r="B512" s="21" t="s">
        <v>2505</v>
      </c>
    </row>
    <row r="513">
      <c r="A513" s="21" t="s">
        <v>2506</v>
      </c>
      <c r="B513" s="21" t="s">
        <v>2507</v>
      </c>
    </row>
    <row r="514">
      <c r="A514" s="21" t="s">
        <v>2508</v>
      </c>
      <c r="B514" s="21" t="s">
        <v>2509</v>
      </c>
    </row>
    <row r="515">
      <c r="A515" s="21" t="s">
        <v>2510</v>
      </c>
      <c r="B515" s="21" t="s">
        <v>2234</v>
      </c>
    </row>
    <row r="516">
      <c r="A516" s="21" t="s">
        <v>2511</v>
      </c>
      <c r="B516" s="21" t="s">
        <v>2362</v>
      </c>
    </row>
    <row r="517">
      <c r="A517" s="21" t="s">
        <v>2512</v>
      </c>
      <c r="B517" s="21" t="s">
        <v>2513</v>
      </c>
    </row>
    <row r="518">
      <c r="A518" s="21" t="s">
        <v>2514</v>
      </c>
      <c r="B518" s="21" t="s">
        <v>2456</v>
      </c>
    </row>
    <row r="519">
      <c r="A519" s="21" t="s">
        <v>2515</v>
      </c>
      <c r="B519" s="21" t="s">
        <v>2516</v>
      </c>
    </row>
    <row r="520">
      <c r="A520" s="21" t="s">
        <v>2517</v>
      </c>
      <c r="B520" s="21" t="s">
        <v>2450</v>
      </c>
    </row>
    <row r="521">
      <c r="A521" s="21" t="s">
        <v>2518</v>
      </c>
      <c r="B521" s="21" t="s">
        <v>2153</v>
      </c>
    </row>
    <row r="522">
      <c r="A522" s="21" t="s">
        <v>2519</v>
      </c>
      <c r="B522" s="21" t="s">
        <v>2520</v>
      </c>
    </row>
    <row r="523">
      <c r="A523" s="21" t="s">
        <v>2521</v>
      </c>
      <c r="B523" s="21" t="s">
        <v>2281</v>
      </c>
    </row>
    <row r="524">
      <c r="A524" s="21" t="s">
        <v>2522</v>
      </c>
      <c r="B524" s="21" t="s">
        <v>2523</v>
      </c>
    </row>
    <row r="525">
      <c r="A525" s="21" t="s">
        <v>2524</v>
      </c>
      <c r="B525" s="21" t="s">
        <v>2162</v>
      </c>
    </row>
    <row r="526">
      <c r="A526" s="21" t="s">
        <v>2525</v>
      </c>
      <c r="B526" s="21" t="s">
        <v>2526</v>
      </c>
    </row>
    <row r="527">
      <c r="A527" s="21" t="s">
        <v>2527</v>
      </c>
      <c r="B527" s="21" t="s">
        <v>2350</v>
      </c>
    </row>
    <row r="528">
      <c r="A528" s="21" t="s">
        <v>2528</v>
      </c>
      <c r="B528" s="21" t="s">
        <v>2529</v>
      </c>
    </row>
    <row r="529">
      <c r="A529" s="21" t="s">
        <v>2530</v>
      </c>
      <c r="B529" s="21" t="s">
        <v>2471</v>
      </c>
    </row>
    <row r="530">
      <c r="A530" s="11" t="s">
        <v>2531</v>
      </c>
      <c r="B530" s="11" t="s">
        <v>2532</v>
      </c>
    </row>
    <row r="531">
      <c r="A531" s="11" t="s">
        <v>2533</v>
      </c>
      <c r="B531" s="11" t="s">
        <v>2236</v>
      </c>
    </row>
    <row r="532">
      <c r="A532" s="21" t="s">
        <v>2534</v>
      </c>
      <c r="B532" s="21" t="s">
        <v>2535</v>
      </c>
    </row>
    <row r="533">
      <c r="A533" s="21" t="s">
        <v>2536</v>
      </c>
      <c r="B533" s="21" t="s">
        <v>2537</v>
      </c>
    </row>
    <row r="534">
      <c r="A534" s="21" t="s">
        <v>2538</v>
      </c>
      <c r="B534" s="21" t="s">
        <v>2539</v>
      </c>
    </row>
    <row r="535">
      <c r="A535" s="21" t="s">
        <v>2540</v>
      </c>
      <c r="B535" s="21" t="s">
        <v>2541</v>
      </c>
    </row>
    <row r="536">
      <c r="A536" s="21" t="s">
        <v>2542</v>
      </c>
      <c r="B536" s="21" t="s">
        <v>2543</v>
      </c>
    </row>
    <row r="537">
      <c r="A537" s="21" t="s">
        <v>2544</v>
      </c>
      <c r="B537" s="21" t="s">
        <v>2545</v>
      </c>
    </row>
    <row r="538">
      <c r="A538" s="21" t="s">
        <v>2546</v>
      </c>
      <c r="B538" s="21" t="s">
        <v>2547</v>
      </c>
    </row>
    <row r="539">
      <c r="A539" s="21" t="s">
        <v>2548</v>
      </c>
      <c r="B539" s="21" t="s">
        <v>2471</v>
      </c>
    </row>
    <row r="540">
      <c r="A540" s="21" t="s">
        <v>2549</v>
      </c>
      <c r="B540" s="21" t="s">
        <v>2394</v>
      </c>
    </row>
    <row r="541">
      <c r="A541" s="21" t="s">
        <v>2550</v>
      </c>
      <c r="B541" s="21" t="s">
        <v>2551</v>
      </c>
    </row>
    <row r="542">
      <c r="A542" s="21" t="s">
        <v>2552</v>
      </c>
      <c r="B542" s="21" t="s">
        <v>2553</v>
      </c>
    </row>
    <row r="543">
      <c r="A543" s="21" t="s">
        <v>2554</v>
      </c>
      <c r="B543" s="21" t="s">
        <v>2396</v>
      </c>
    </row>
    <row r="544">
      <c r="A544" s="21" t="s">
        <v>2555</v>
      </c>
      <c r="B544" s="21" t="s">
        <v>2421</v>
      </c>
    </row>
    <row r="545">
      <c r="A545" s="21" t="s">
        <v>2556</v>
      </c>
      <c r="B545" s="21" t="s">
        <v>2557</v>
      </c>
    </row>
    <row r="546">
      <c r="A546" s="11" t="s">
        <v>2558</v>
      </c>
      <c r="B546" s="11" t="s">
        <v>2502</v>
      </c>
    </row>
    <row r="547">
      <c r="A547" s="21" t="s">
        <v>2559</v>
      </c>
      <c r="B547" s="21" t="s">
        <v>2446</v>
      </c>
    </row>
    <row r="548">
      <c r="A548" s="21" t="s">
        <v>2560</v>
      </c>
      <c r="B548" s="21" t="s">
        <v>2561</v>
      </c>
    </row>
    <row r="549">
      <c r="A549" s="21" t="s">
        <v>2562</v>
      </c>
      <c r="B549" s="21" t="s">
        <v>2563</v>
      </c>
    </row>
    <row r="550">
      <c r="A550" s="11" t="s">
        <v>2564</v>
      </c>
      <c r="B550" s="11" t="s">
        <v>2565</v>
      </c>
    </row>
    <row r="551">
      <c r="A551" s="21" t="s">
        <v>2566</v>
      </c>
      <c r="B551" s="21" t="s">
        <v>2483</v>
      </c>
    </row>
    <row r="552">
      <c r="A552" s="21" t="s">
        <v>2567</v>
      </c>
      <c r="B552" s="21" t="s">
        <v>2325</v>
      </c>
    </row>
    <row r="553">
      <c r="A553" s="21" t="s">
        <v>2568</v>
      </c>
      <c r="B553" s="21" t="s">
        <v>2494</v>
      </c>
    </row>
    <row r="554">
      <c r="A554" s="21" t="s">
        <v>2569</v>
      </c>
      <c r="B554" s="21" t="s">
        <v>2570</v>
      </c>
    </row>
    <row r="555">
      <c r="A555" s="21" t="s">
        <v>2571</v>
      </c>
      <c r="B555" s="21" t="s">
        <v>2202</v>
      </c>
    </row>
    <row r="556">
      <c r="A556" s="21" t="s">
        <v>2572</v>
      </c>
      <c r="B556" s="21" t="s">
        <v>2275</v>
      </c>
    </row>
    <row r="557">
      <c r="A557" s="21" t="s">
        <v>2573</v>
      </c>
      <c r="B557" s="21" t="s">
        <v>2574</v>
      </c>
    </row>
    <row r="558">
      <c r="A558" s="21" t="s">
        <v>2575</v>
      </c>
      <c r="B558" s="21" t="s">
        <v>2576</v>
      </c>
    </row>
    <row r="559">
      <c r="A559" s="21" t="s">
        <v>2577</v>
      </c>
      <c r="B559" s="21" t="s">
        <v>2446</v>
      </c>
    </row>
    <row r="560">
      <c r="A560" s="21" t="s">
        <v>2578</v>
      </c>
      <c r="B560" s="21" t="s">
        <v>2579</v>
      </c>
    </row>
    <row r="561">
      <c r="A561" s="21" t="s">
        <v>2580</v>
      </c>
      <c r="B561" s="21" t="s">
        <v>2119</v>
      </c>
    </row>
    <row r="562">
      <c r="A562" s="21" t="s">
        <v>2581</v>
      </c>
      <c r="B562" s="21" t="s">
        <v>2582</v>
      </c>
    </row>
    <row r="563">
      <c r="A563" s="21" t="s">
        <v>2583</v>
      </c>
      <c r="B563" s="11" t="s">
        <v>2438</v>
      </c>
    </row>
    <row r="564">
      <c r="A564" s="21" t="s">
        <v>2584</v>
      </c>
      <c r="B564" s="21" t="s">
        <v>2195</v>
      </c>
    </row>
    <row r="565">
      <c r="A565" s="21" t="s">
        <v>2585</v>
      </c>
      <c r="B565" s="21" t="s">
        <v>2586</v>
      </c>
    </row>
    <row r="566">
      <c r="A566" s="21" t="s">
        <v>2587</v>
      </c>
      <c r="B566" s="21" t="s">
        <v>2217</v>
      </c>
    </row>
    <row r="567">
      <c r="A567" s="21" t="s">
        <v>2588</v>
      </c>
      <c r="B567" s="21" t="s">
        <v>2313</v>
      </c>
    </row>
    <row r="568">
      <c r="A568" s="21" t="s">
        <v>2589</v>
      </c>
      <c r="B568" s="21" t="s">
        <v>2590</v>
      </c>
    </row>
    <row r="569">
      <c r="A569" s="21" t="s">
        <v>2591</v>
      </c>
      <c r="B569" s="21" t="s">
        <v>2485</v>
      </c>
    </row>
    <row r="570">
      <c r="A570" s="21" t="s">
        <v>2592</v>
      </c>
      <c r="B570" s="21" t="s">
        <v>2281</v>
      </c>
    </row>
    <row r="571">
      <c r="A571" s="21" t="s">
        <v>2593</v>
      </c>
      <c r="B571" s="21" t="s">
        <v>2594</v>
      </c>
    </row>
    <row r="572">
      <c r="A572" s="21" t="s">
        <v>2595</v>
      </c>
      <c r="B572" s="21" t="s">
        <v>2596</v>
      </c>
    </row>
    <row r="573">
      <c r="A573" s="21" t="s">
        <v>2597</v>
      </c>
      <c r="B573" s="21" t="s">
        <v>2598</v>
      </c>
    </row>
    <row r="574">
      <c r="A574" s="21" t="s">
        <v>2599</v>
      </c>
      <c r="B574" s="21" t="s">
        <v>2600</v>
      </c>
    </row>
    <row r="575">
      <c r="A575" s="21" t="s">
        <v>2601</v>
      </c>
      <c r="B575" s="21" t="s">
        <v>2243</v>
      </c>
    </row>
    <row r="576">
      <c r="A576" s="21" t="s">
        <v>2602</v>
      </c>
      <c r="B576" s="21" t="s">
        <v>2603</v>
      </c>
    </row>
    <row r="577">
      <c r="A577" s="21" t="s">
        <v>2604</v>
      </c>
      <c r="B577" s="21" t="s">
        <v>2605</v>
      </c>
    </row>
    <row r="578">
      <c r="A578" s="11" t="s">
        <v>2606</v>
      </c>
      <c r="B578" s="11" t="s">
        <v>2348</v>
      </c>
    </row>
    <row r="579">
      <c r="A579" s="21" t="s">
        <v>2607</v>
      </c>
      <c r="B579" s="21" t="s">
        <v>2532</v>
      </c>
    </row>
    <row r="580">
      <c r="A580" s="21" t="s">
        <v>2608</v>
      </c>
      <c r="B580" s="21" t="s">
        <v>2609</v>
      </c>
    </row>
    <row r="581">
      <c r="A581" s="21" t="s">
        <v>2610</v>
      </c>
      <c r="B581" s="21" t="s">
        <v>2153</v>
      </c>
    </row>
    <row r="582">
      <c r="A582" s="21" t="s">
        <v>2611</v>
      </c>
      <c r="B582" s="21" t="s">
        <v>2612</v>
      </c>
    </row>
    <row r="583">
      <c r="A583" s="21" t="s">
        <v>2613</v>
      </c>
      <c r="B583" s="21" t="s">
        <v>2456</v>
      </c>
    </row>
    <row r="584">
      <c r="A584" s="21" t="s">
        <v>2614</v>
      </c>
      <c r="B584" s="21" t="s">
        <v>2615</v>
      </c>
    </row>
    <row r="585">
      <c r="A585" s="21" t="s">
        <v>2616</v>
      </c>
      <c r="B585" s="21" t="s">
        <v>2617</v>
      </c>
    </row>
    <row r="586">
      <c r="A586" s="21" t="s">
        <v>2618</v>
      </c>
      <c r="B586" s="21" t="s">
        <v>2450</v>
      </c>
    </row>
    <row r="587">
      <c r="A587" s="21" t="s">
        <v>2619</v>
      </c>
      <c r="B587" s="21" t="s">
        <v>2424</v>
      </c>
    </row>
    <row r="588">
      <c r="A588" s="21" t="s">
        <v>2620</v>
      </c>
      <c r="B588" s="21" t="s">
        <v>2621</v>
      </c>
    </row>
    <row r="589">
      <c r="A589" s="21" t="s">
        <v>2622</v>
      </c>
      <c r="B589" s="21" t="s">
        <v>2088</v>
      </c>
    </row>
    <row r="590">
      <c r="A590" s="21" t="s">
        <v>2623</v>
      </c>
      <c r="B590" s="21" t="s">
        <v>2624</v>
      </c>
    </row>
    <row r="591">
      <c r="A591" s="21" t="s">
        <v>2625</v>
      </c>
      <c r="B591" s="21" t="s">
        <v>2626</v>
      </c>
    </row>
    <row r="592">
      <c r="A592" s="21" t="s">
        <v>2627</v>
      </c>
      <c r="B592" s="21" t="s">
        <v>2628</v>
      </c>
    </row>
    <row r="593">
      <c r="A593" s="21" t="s">
        <v>2629</v>
      </c>
      <c r="B593" s="21" t="s">
        <v>2339</v>
      </c>
    </row>
    <row r="594">
      <c r="A594" s="21" t="s">
        <v>2630</v>
      </c>
      <c r="B594" s="21" t="s">
        <v>2396</v>
      </c>
    </row>
    <row r="595">
      <c r="A595" s="21" t="s">
        <v>2631</v>
      </c>
      <c r="B595" s="21" t="s">
        <v>2632</v>
      </c>
    </row>
    <row r="596">
      <c r="A596" s="21" t="s">
        <v>2633</v>
      </c>
      <c r="B596" s="21" t="s">
        <v>2267</v>
      </c>
    </row>
    <row r="597">
      <c r="A597" s="21" t="s">
        <v>2634</v>
      </c>
      <c r="B597" s="11" t="s">
        <v>2438</v>
      </c>
    </row>
    <row r="598">
      <c r="A598" s="21" t="s">
        <v>2635</v>
      </c>
      <c r="B598" s="21" t="s">
        <v>2636</v>
      </c>
    </row>
    <row r="599">
      <c r="A599" s="21" t="s">
        <v>2637</v>
      </c>
      <c r="B599" s="21" t="s">
        <v>2377</v>
      </c>
    </row>
    <row r="600">
      <c r="A600" s="21" t="s">
        <v>2638</v>
      </c>
      <c r="B600" s="21" t="s">
        <v>2639</v>
      </c>
    </row>
    <row r="601">
      <c r="A601" s="21" t="s">
        <v>2640</v>
      </c>
      <c r="B601" s="21" t="s">
        <v>2641</v>
      </c>
    </row>
    <row r="602">
      <c r="A602" s="21" t="s">
        <v>2642</v>
      </c>
      <c r="B602" s="21" t="s">
        <v>2516</v>
      </c>
    </row>
    <row r="603">
      <c r="A603" s="21" t="s">
        <v>2643</v>
      </c>
      <c r="B603" s="21" t="s">
        <v>2271</v>
      </c>
    </row>
    <row r="604">
      <c r="A604" s="21" t="s">
        <v>2644</v>
      </c>
      <c r="B604" s="21" t="s">
        <v>2303</v>
      </c>
    </row>
    <row r="605">
      <c r="A605" s="21" t="s">
        <v>2645</v>
      </c>
      <c r="B605" s="21" t="s">
        <v>2646</v>
      </c>
    </row>
    <row r="606">
      <c r="A606" s="21" t="s">
        <v>2647</v>
      </c>
      <c r="B606" s="21" t="s">
        <v>2073</v>
      </c>
    </row>
    <row r="607">
      <c r="A607" s="21" t="s">
        <v>2648</v>
      </c>
      <c r="B607" s="11" t="s">
        <v>2523</v>
      </c>
    </row>
    <row r="608">
      <c r="A608" s="21" t="s">
        <v>2649</v>
      </c>
      <c r="B608" s="21" t="s">
        <v>1880</v>
      </c>
    </row>
    <row r="609">
      <c r="A609" s="21" t="s">
        <v>2650</v>
      </c>
      <c r="B609" s="21" t="s">
        <v>2446</v>
      </c>
    </row>
    <row r="610">
      <c r="A610" s="21" t="s">
        <v>2651</v>
      </c>
      <c r="B610" s="21" t="s">
        <v>2652</v>
      </c>
    </row>
    <row r="611">
      <c r="A611" s="21" t="s">
        <v>2653</v>
      </c>
      <c r="B611" s="21" t="s">
        <v>2251</v>
      </c>
    </row>
    <row r="612">
      <c r="A612" s="21" t="s">
        <v>2654</v>
      </c>
      <c r="B612" s="21" t="s">
        <v>2655</v>
      </c>
    </row>
    <row r="613">
      <c r="A613" s="21" t="s">
        <v>2656</v>
      </c>
      <c r="B613" s="21" t="s">
        <v>2553</v>
      </c>
    </row>
    <row r="614">
      <c r="A614" s="21" t="s">
        <v>2657</v>
      </c>
      <c r="B614" s="21" t="s">
        <v>2658</v>
      </c>
    </row>
    <row r="615">
      <c r="A615" s="21" t="s">
        <v>2659</v>
      </c>
      <c r="B615" s="21" t="s">
        <v>2079</v>
      </c>
    </row>
    <row r="616">
      <c r="A616" s="21" t="s">
        <v>2660</v>
      </c>
      <c r="B616" s="21" t="s">
        <v>2576</v>
      </c>
    </row>
    <row r="617">
      <c r="A617" s="21" t="s">
        <v>2661</v>
      </c>
      <c r="B617" s="21" t="s">
        <v>2490</v>
      </c>
    </row>
    <row r="618">
      <c r="A618" s="21" t="s">
        <v>2662</v>
      </c>
      <c r="B618" s="21" t="s">
        <v>2663</v>
      </c>
    </row>
    <row r="619">
      <c r="A619" s="21" t="s">
        <v>2664</v>
      </c>
      <c r="B619" s="21" t="s">
        <v>2665</v>
      </c>
    </row>
    <row r="620">
      <c r="A620" s="21" t="s">
        <v>2666</v>
      </c>
      <c r="B620" s="21" t="s">
        <v>2471</v>
      </c>
    </row>
    <row r="621">
      <c r="A621" s="21" t="s">
        <v>2667</v>
      </c>
      <c r="B621" s="21" t="s">
        <v>2043</v>
      </c>
    </row>
    <row r="622">
      <c r="A622" s="21" t="s">
        <v>2668</v>
      </c>
      <c r="B622" s="21" t="s">
        <v>2291</v>
      </c>
    </row>
    <row r="623">
      <c r="A623" s="21" t="s">
        <v>2669</v>
      </c>
      <c r="B623" s="21" t="s">
        <v>2670</v>
      </c>
    </row>
    <row r="624">
      <c r="A624" s="21" t="s">
        <v>2671</v>
      </c>
      <c r="B624" s="21" t="s">
        <v>2598</v>
      </c>
    </row>
    <row r="625">
      <c r="A625" s="21" t="s">
        <v>2672</v>
      </c>
      <c r="B625" s="21" t="s">
        <v>2673</v>
      </c>
    </row>
    <row r="626">
      <c r="A626" s="21" t="s">
        <v>2674</v>
      </c>
      <c r="B626" s="21" t="s">
        <v>2003</v>
      </c>
    </row>
    <row r="627">
      <c r="A627" s="21" t="s">
        <v>2675</v>
      </c>
      <c r="B627" s="21" t="s">
        <v>2676</v>
      </c>
    </row>
    <row r="628">
      <c r="A628" s="21" t="s">
        <v>2677</v>
      </c>
      <c r="B628" s="21" t="s">
        <v>2424</v>
      </c>
    </row>
    <row r="629">
      <c r="A629" s="21" t="s">
        <v>2678</v>
      </c>
      <c r="B629" s="21" t="s">
        <v>2273</v>
      </c>
    </row>
    <row r="630">
      <c r="A630" s="21" t="s">
        <v>2679</v>
      </c>
      <c r="B630" s="21" t="s">
        <v>2466</v>
      </c>
    </row>
    <row r="631">
      <c r="A631" s="21" t="s">
        <v>2680</v>
      </c>
      <c r="B631" s="21" t="s">
        <v>2263</v>
      </c>
    </row>
    <row r="632">
      <c r="A632" s="21" t="s">
        <v>2681</v>
      </c>
      <c r="B632" s="21" t="s">
        <v>2682</v>
      </c>
    </row>
    <row r="633">
      <c r="A633" s="21" t="s">
        <v>2683</v>
      </c>
      <c r="B633" s="21" t="s">
        <v>2243</v>
      </c>
    </row>
    <row r="634">
      <c r="A634" s="21" t="s">
        <v>2684</v>
      </c>
      <c r="B634" s="21" t="s">
        <v>2685</v>
      </c>
    </row>
    <row r="635">
      <c r="A635" s="21" t="s">
        <v>2686</v>
      </c>
      <c r="B635" s="21" t="s">
        <v>2579</v>
      </c>
    </row>
    <row r="636">
      <c r="A636" s="21" t="s">
        <v>2687</v>
      </c>
      <c r="B636" s="21" t="s">
        <v>2172</v>
      </c>
    </row>
    <row r="637">
      <c r="A637" s="21" t="s">
        <v>2688</v>
      </c>
      <c r="B637" s="21" t="s">
        <v>2689</v>
      </c>
    </row>
    <row r="638">
      <c r="A638" s="21" t="s">
        <v>2690</v>
      </c>
      <c r="B638" s="21" t="s">
        <v>2217</v>
      </c>
    </row>
    <row r="639">
      <c r="A639" s="21" t="s">
        <v>2691</v>
      </c>
      <c r="B639" s="21" t="s">
        <v>2692</v>
      </c>
    </row>
    <row r="640">
      <c r="A640" s="21" t="s">
        <v>2693</v>
      </c>
      <c r="B640" s="21" t="s">
        <v>2694</v>
      </c>
    </row>
    <row r="641">
      <c r="A641" s="21" t="s">
        <v>2695</v>
      </c>
      <c r="B641" s="21" t="s">
        <v>2350</v>
      </c>
    </row>
    <row r="642">
      <c r="A642" s="21" t="s">
        <v>2696</v>
      </c>
      <c r="B642" s="21" t="s">
        <v>2697</v>
      </c>
    </row>
    <row r="643">
      <c r="A643" s="21" t="s">
        <v>2698</v>
      </c>
      <c r="B643" s="21" t="s">
        <v>2699</v>
      </c>
    </row>
    <row r="644">
      <c r="A644" s="21" t="s">
        <v>2700</v>
      </c>
      <c r="B644" s="21" t="s">
        <v>2565</v>
      </c>
    </row>
    <row r="645">
      <c r="A645" s="21" t="s">
        <v>2701</v>
      </c>
      <c r="B645" s="21" t="s">
        <v>2079</v>
      </c>
    </row>
    <row r="646">
      <c r="A646" s="21" t="s">
        <v>2702</v>
      </c>
      <c r="B646" s="21" t="s">
        <v>2703</v>
      </c>
    </row>
    <row r="647">
      <c r="A647" s="21" t="s">
        <v>2704</v>
      </c>
      <c r="B647" s="21" t="s">
        <v>2590</v>
      </c>
    </row>
    <row r="648">
      <c r="A648" s="21" t="s">
        <v>2705</v>
      </c>
      <c r="B648" s="21" t="s">
        <v>2706</v>
      </c>
    </row>
    <row r="649">
      <c r="A649" s="21" t="s">
        <v>2707</v>
      </c>
      <c r="B649" s="21" t="s">
        <v>2234</v>
      </c>
    </row>
    <row r="650">
      <c r="A650" s="21" t="s">
        <v>2708</v>
      </c>
      <c r="B650" s="21" t="s">
        <v>2293</v>
      </c>
    </row>
    <row r="651">
      <c r="A651" s="21" t="s">
        <v>2709</v>
      </c>
      <c r="B651" s="21" t="s">
        <v>2710</v>
      </c>
    </row>
    <row r="652">
      <c r="A652" s="21" t="s">
        <v>2711</v>
      </c>
      <c r="B652" s="21" t="s">
        <v>2494</v>
      </c>
    </row>
    <row r="653">
      <c r="A653" s="21" t="s">
        <v>2712</v>
      </c>
      <c r="B653" s="21" t="s">
        <v>2713</v>
      </c>
    </row>
    <row r="654">
      <c r="A654" s="21" t="s">
        <v>2714</v>
      </c>
      <c r="B654" s="21" t="s">
        <v>2502</v>
      </c>
    </row>
    <row r="655">
      <c r="A655" s="21" t="s">
        <v>2715</v>
      </c>
      <c r="B655" s="11" t="s">
        <v>2716</v>
      </c>
    </row>
    <row r="656">
      <c r="A656" s="21" t="s">
        <v>2717</v>
      </c>
      <c r="B656" s="21" t="s">
        <v>2718</v>
      </c>
    </row>
    <row r="657">
      <c r="A657" s="21" t="s">
        <v>2719</v>
      </c>
      <c r="B657" s="21" t="s">
        <v>2355</v>
      </c>
    </row>
    <row r="658">
      <c r="A658" s="21" t="s">
        <v>2720</v>
      </c>
      <c r="B658" s="21" t="s">
        <v>2535</v>
      </c>
    </row>
    <row r="659">
      <c r="A659" s="21" t="s">
        <v>2721</v>
      </c>
      <c r="B659" s="21" t="s">
        <v>2586</v>
      </c>
    </row>
    <row r="660">
      <c r="A660" s="21" t="s">
        <v>2722</v>
      </c>
      <c r="B660" s="21" t="s">
        <v>2723</v>
      </c>
    </row>
    <row r="661">
      <c r="A661" s="21" t="s">
        <v>2724</v>
      </c>
      <c r="B661" s="21" t="s">
        <v>2490</v>
      </c>
    </row>
    <row r="662">
      <c r="A662" s="21" t="s">
        <v>2725</v>
      </c>
      <c r="B662" s="21" t="s">
        <v>2726</v>
      </c>
    </row>
    <row r="663">
      <c r="A663" s="21" t="s">
        <v>2727</v>
      </c>
      <c r="B663" s="21" t="s">
        <v>2728</v>
      </c>
    </row>
    <row r="664">
      <c r="A664" s="21" t="s">
        <v>2729</v>
      </c>
      <c r="B664" s="21" t="s">
        <v>2730</v>
      </c>
    </row>
    <row r="665">
      <c r="A665" s="21" t="s">
        <v>2731</v>
      </c>
      <c r="B665" s="21" t="s">
        <v>2537</v>
      </c>
    </row>
    <row r="666">
      <c r="A666" s="21" t="s">
        <v>2732</v>
      </c>
      <c r="B666" s="21" t="s">
        <v>2183</v>
      </c>
    </row>
    <row r="667">
      <c r="A667" s="21" t="s">
        <v>2733</v>
      </c>
      <c r="B667" s="21" t="s">
        <v>2734</v>
      </c>
    </row>
    <row r="668">
      <c r="A668" s="21" t="s">
        <v>2735</v>
      </c>
      <c r="B668" s="21" t="s">
        <v>2364</v>
      </c>
    </row>
    <row r="669">
      <c r="A669" s="21" t="s">
        <v>2736</v>
      </c>
      <c r="B669" s="21" t="s">
        <v>2547</v>
      </c>
    </row>
    <row r="670">
      <c r="A670" s="21" t="s">
        <v>2737</v>
      </c>
      <c r="B670" s="21" t="s">
        <v>2450</v>
      </c>
    </row>
    <row r="671">
      <c r="A671" s="21" t="s">
        <v>2738</v>
      </c>
      <c r="B671" s="21" t="s">
        <v>2739</v>
      </c>
    </row>
    <row r="672">
      <c r="A672" s="21" t="s">
        <v>2740</v>
      </c>
      <c r="B672" s="21" t="s">
        <v>2741</v>
      </c>
    </row>
    <row r="673">
      <c r="A673" s="21" t="s">
        <v>2742</v>
      </c>
      <c r="B673" s="21" t="s">
        <v>2743</v>
      </c>
    </row>
    <row r="674">
      <c r="A674" s="21" t="s">
        <v>2744</v>
      </c>
      <c r="B674" s="21" t="s">
        <v>2464</v>
      </c>
    </row>
    <row r="675">
      <c r="A675" s="21" t="s">
        <v>2745</v>
      </c>
      <c r="B675" s="11" t="s">
        <v>2746</v>
      </c>
    </row>
    <row r="676">
      <c r="A676" s="21" t="s">
        <v>2747</v>
      </c>
      <c r="B676" s="21" t="s">
        <v>2748</v>
      </c>
    </row>
    <row r="677">
      <c r="A677" s="21" t="s">
        <v>2749</v>
      </c>
      <c r="B677" s="21" t="s">
        <v>2505</v>
      </c>
    </row>
    <row r="678">
      <c r="A678" s="21" t="s">
        <v>2750</v>
      </c>
      <c r="B678" s="21" t="s">
        <v>2751</v>
      </c>
    </row>
    <row r="679">
      <c r="A679" s="21" t="s">
        <v>2752</v>
      </c>
      <c r="B679" s="21" t="s">
        <v>2753</v>
      </c>
    </row>
    <row r="680">
      <c r="A680" s="21" t="s">
        <v>2754</v>
      </c>
      <c r="B680" s="21" t="s">
        <v>2421</v>
      </c>
    </row>
    <row r="681">
      <c r="A681" s="21" t="s">
        <v>2755</v>
      </c>
      <c r="B681" s="21" t="s">
        <v>2579</v>
      </c>
    </row>
    <row r="682">
      <c r="A682" s="21" t="s">
        <v>2756</v>
      </c>
      <c r="B682" s="21" t="s">
        <v>2757</v>
      </c>
    </row>
    <row r="683">
      <c r="A683" s="21" t="s">
        <v>2758</v>
      </c>
      <c r="B683" s="21" t="s">
        <v>2759</v>
      </c>
    </row>
    <row r="684">
      <c r="A684" s="21" t="s">
        <v>2760</v>
      </c>
      <c r="B684" s="21" t="s">
        <v>2761</v>
      </c>
    </row>
    <row r="685">
      <c r="A685" s="21" t="s">
        <v>2762</v>
      </c>
      <c r="B685" s="21" t="s">
        <v>2605</v>
      </c>
    </row>
    <row r="686">
      <c r="A686" s="21" t="s">
        <v>2763</v>
      </c>
      <c r="B686" s="21" t="s">
        <v>2764</v>
      </c>
    </row>
    <row r="687">
      <c r="A687" s="21" t="s">
        <v>2765</v>
      </c>
      <c r="B687" s="21" t="s">
        <v>2137</v>
      </c>
    </row>
    <row r="688">
      <c r="A688" s="21" t="s">
        <v>2766</v>
      </c>
      <c r="B688" s="21" t="s">
        <v>2767</v>
      </c>
    </row>
    <row r="689">
      <c r="A689" s="21" t="s">
        <v>2768</v>
      </c>
      <c r="B689" s="21" t="s">
        <v>2769</v>
      </c>
    </row>
    <row r="690">
      <c r="A690" s="21" t="s">
        <v>2770</v>
      </c>
      <c r="B690" s="21" t="s">
        <v>2443</v>
      </c>
    </row>
    <row r="691">
      <c r="A691" s="21" t="s">
        <v>2771</v>
      </c>
      <c r="B691" s="21" t="s">
        <v>2772</v>
      </c>
    </row>
    <row r="692">
      <c r="A692" s="21" t="s">
        <v>2773</v>
      </c>
      <c r="B692" s="21" t="s">
        <v>2774</v>
      </c>
    </row>
    <row r="693">
      <c r="A693" s="21" t="s">
        <v>2775</v>
      </c>
      <c r="B693" s="21" t="s">
        <v>2509</v>
      </c>
    </row>
    <row r="694">
      <c r="A694" s="21" t="s">
        <v>2776</v>
      </c>
      <c r="B694" s="21" t="s">
        <v>2777</v>
      </c>
    </row>
    <row r="695">
      <c r="A695" s="21" t="s">
        <v>2778</v>
      </c>
      <c r="B695" s="21" t="s">
        <v>2779</v>
      </c>
    </row>
    <row r="696">
      <c r="A696" s="21" t="s">
        <v>2780</v>
      </c>
      <c r="B696" s="21" t="s">
        <v>2153</v>
      </c>
    </row>
    <row r="697">
      <c r="A697" s="21" t="s">
        <v>2781</v>
      </c>
      <c r="B697" s="21" t="s">
        <v>2513</v>
      </c>
    </row>
    <row r="698">
      <c r="A698" s="21" t="s">
        <v>2782</v>
      </c>
      <c r="B698" s="21" t="s">
        <v>2438</v>
      </c>
    </row>
    <row r="699">
      <c r="A699" s="21" t="s">
        <v>2783</v>
      </c>
      <c r="B699" s="21" t="s">
        <v>2784</v>
      </c>
    </row>
    <row r="700">
      <c r="A700" s="21" t="s">
        <v>2785</v>
      </c>
      <c r="B700" s="21" t="s">
        <v>2485</v>
      </c>
    </row>
    <row r="701">
      <c r="A701" s="21" t="s">
        <v>2786</v>
      </c>
      <c r="B701" s="21" t="s">
        <v>1972</v>
      </c>
    </row>
    <row r="702">
      <c r="A702" s="21" t="s">
        <v>2787</v>
      </c>
      <c r="B702" s="21" t="s">
        <v>2788</v>
      </c>
    </row>
    <row r="703">
      <c r="A703" s="21" t="s">
        <v>2789</v>
      </c>
      <c r="B703" s="21" t="s">
        <v>2790</v>
      </c>
    </row>
    <row r="704">
      <c r="A704" s="21" t="s">
        <v>2791</v>
      </c>
      <c r="B704" s="21" t="s">
        <v>2396</v>
      </c>
    </row>
    <row r="705">
      <c r="A705" s="21" t="s">
        <v>2792</v>
      </c>
      <c r="B705" s="21" t="s">
        <v>2793</v>
      </c>
    </row>
    <row r="706">
      <c r="A706" s="21" t="s">
        <v>2794</v>
      </c>
      <c r="B706" s="21" t="s">
        <v>2236</v>
      </c>
    </row>
    <row r="707">
      <c r="A707" s="21" t="s">
        <v>2795</v>
      </c>
      <c r="B707" s="21" t="s">
        <v>2655</v>
      </c>
    </row>
    <row r="708">
      <c r="A708" s="21" t="s">
        <v>2796</v>
      </c>
      <c r="B708" s="21" t="s">
        <v>2281</v>
      </c>
    </row>
    <row r="709">
      <c r="A709" s="21" t="s">
        <v>2797</v>
      </c>
      <c r="B709" s="21" t="s">
        <v>2003</v>
      </c>
    </row>
    <row r="710">
      <c r="A710" s="21" t="s">
        <v>2798</v>
      </c>
      <c r="B710" s="21" t="s">
        <v>2799</v>
      </c>
    </row>
    <row r="711">
      <c r="A711" s="21" t="s">
        <v>2800</v>
      </c>
      <c r="B711" s="21" t="s">
        <v>2801</v>
      </c>
    </row>
    <row r="712">
      <c r="A712" s="21" t="s">
        <v>2802</v>
      </c>
      <c r="B712" s="21" t="s">
        <v>2490</v>
      </c>
    </row>
    <row r="713">
      <c r="A713" s="21" t="s">
        <v>2803</v>
      </c>
      <c r="B713" s="21" t="s">
        <v>2541</v>
      </c>
    </row>
    <row r="714">
      <c r="A714" s="21" t="s">
        <v>2804</v>
      </c>
      <c r="B714" s="21" t="s">
        <v>2805</v>
      </c>
    </row>
    <row r="715">
      <c r="A715" s="21" t="s">
        <v>2806</v>
      </c>
      <c r="B715" s="21" t="s">
        <v>2807</v>
      </c>
    </row>
    <row r="716">
      <c r="A716" s="21" t="s">
        <v>2808</v>
      </c>
      <c r="B716" s="21" t="s">
        <v>2561</v>
      </c>
    </row>
    <row r="717">
      <c r="A717" s="21" t="s">
        <v>2809</v>
      </c>
      <c r="B717" s="21" t="s">
        <v>2600</v>
      </c>
    </row>
    <row r="718">
      <c r="A718" s="21" t="s">
        <v>2810</v>
      </c>
      <c r="B718" s="21" t="s">
        <v>2811</v>
      </c>
    </row>
    <row r="719">
      <c r="A719" s="21" t="s">
        <v>2812</v>
      </c>
      <c r="B719" s="21" t="s">
        <v>2813</v>
      </c>
    </row>
    <row r="720">
      <c r="A720" s="21" t="s">
        <v>2814</v>
      </c>
      <c r="B720" s="21" t="s">
        <v>2815</v>
      </c>
    </row>
    <row r="721">
      <c r="A721" s="21" t="s">
        <v>2816</v>
      </c>
      <c r="B721" s="21" t="s">
        <v>2628</v>
      </c>
    </row>
    <row r="722">
      <c r="A722" s="21" t="s">
        <v>2817</v>
      </c>
      <c r="B722" s="21" t="s">
        <v>2471</v>
      </c>
    </row>
    <row r="723">
      <c r="A723" s="21" t="s">
        <v>2818</v>
      </c>
      <c r="B723" s="21" t="s">
        <v>2819</v>
      </c>
    </row>
    <row r="724">
      <c r="A724" s="21" t="s">
        <v>2820</v>
      </c>
      <c r="B724" s="21" t="s">
        <v>2821</v>
      </c>
    </row>
    <row r="725">
      <c r="A725" s="21" t="s">
        <v>2822</v>
      </c>
      <c r="B725" s="21" t="s">
        <v>2663</v>
      </c>
    </row>
    <row r="726">
      <c r="A726" s="21" t="s">
        <v>2823</v>
      </c>
      <c r="B726" s="21" t="s">
        <v>2663</v>
      </c>
    </row>
    <row r="727">
      <c r="A727" s="21" t="s">
        <v>2824</v>
      </c>
      <c r="B727" s="21" t="s">
        <v>2499</v>
      </c>
    </row>
    <row r="728">
      <c r="A728" s="21" t="s">
        <v>2825</v>
      </c>
      <c r="B728" s="21" t="s">
        <v>2826</v>
      </c>
    </row>
    <row r="729">
      <c r="A729" s="21" t="s">
        <v>2827</v>
      </c>
      <c r="B729" s="21" t="s">
        <v>2828</v>
      </c>
    </row>
    <row r="730">
      <c r="A730" s="21" t="s">
        <v>2829</v>
      </c>
      <c r="B730" s="21" t="s">
        <v>2830</v>
      </c>
    </row>
    <row r="731">
      <c r="A731" s="21" t="s">
        <v>2831</v>
      </c>
      <c r="B731" s="21" t="s">
        <v>2689</v>
      </c>
    </row>
    <row r="732">
      <c r="A732" s="21" t="s">
        <v>2832</v>
      </c>
      <c r="B732" s="21" t="s">
        <v>2833</v>
      </c>
    </row>
    <row r="733">
      <c r="A733" s="21" t="s">
        <v>2834</v>
      </c>
      <c r="B733" s="21" t="s">
        <v>2003</v>
      </c>
    </row>
    <row r="734">
      <c r="A734" s="21" t="s">
        <v>2835</v>
      </c>
      <c r="B734" s="21" t="s">
        <v>2626</v>
      </c>
    </row>
    <row r="735">
      <c r="A735" s="21" t="s">
        <v>2836</v>
      </c>
      <c r="B735" s="21" t="s">
        <v>2641</v>
      </c>
    </row>
    <row r="736">
      <c r="A736" s="21" t="s">
        <v>2837</v>
      </c>
      <c r="B736" s="21" t="s">
        <v>2838</v>
      </c>
    </row>
    <row r="737">
      <c r="A737" s="21" t="s">
        <v>2839</v>
      </c>
      <c r="B737" s="21" t="s">
        <v>2840</v>
      </c>
    </row>
    <row r="738">
      <c r="A738" s="21" t="s">
        <v>2841</v>
      </c>
      <c r="B738" s="21" t="s">
        <v>2195</v>
      </c>
    </row>
    <row r="739">
      <c r="A739" s="21" t="s">
        <v>2842</v>
      </c>
      <c r="B739" s="21" t="s">
        <v>2843</v>
      </c>
    </row>
    <row r="740">
      <c r="A740" s="21" t="s">
        <v>2844</v>
      </c>
      <c r="B740" s="21" t="s">
        <v>2209</v>
      </c>
    </row>
    <row r="741">
      <c r="A741" s="21" t="s">
        <v>2845</v>
      </c>
      <c r="B741" s="21" t="s">
        <v>2846</v>
      </c>
    </row>
    <row r="742">
      <c r="A742" s="21" t="s">
        <v>2847</v>
      </c>
      <c r="B742" s="21" t="s">
        <v>2848</v>
      </c>
    </row>
    <row r="743">
      <c r="A743" s="21" t="s">
        <v>2849</v>
      </c>
      <c r="B743" s="21" t="s">
        <v>2850</v>
      </c>
    </row>
    <row r="744">
      <c r="A744" s="21" t="s">
        <v>2851</v>
      </c>
      <c r="B744" s="21" t="s">
        <v>2852</v>
      </c>
    </row>
    <row r="745">
      <c r="A745" s="21" t="s">
        <v>2853</v>
      </c>
      <c r="B745" s="21" t="s">
        <v>2746</v>
      </c>
    </row>
    <row r="746">
      <c r="A746" s="21" t="s">
        <v>2854</v>
      </c>
      <c r="B746" s="21" t="s">
        <v>2855</v>
      </c>
    </row>
    <row r="747">
      <c r="A747" s="21" t="s">
        <v>2856</v>
      </c>
      <c r="B747" s="21" t="s">
        <v>2857</v>
      </c>
    </row>
    <row r="748">
      <c r="A748" s="21" t="s">
        <v>2858</v>
      </c>
      <c r="B748" s="21" t="s">
        <v>2520</v>
      </c>
    </row>
    <row r="749">
      <c r="A749" s="21" t="s">
        <v>2859</v>
      </c>
      <c r="B749" s="21" t="s">
        <v>2860</v>
      </c>
    </row>
    <row r="750">
      <c r="A750" s="21" t="s">
        <v>2861</v>
      </c>
      <c r="B750" s="21" t="s">
        <v>2516</v>
      </c>
    </row>
    <row r="751">
      <c r="A751" s="21" t="s">
        <v>2862</v>
      </c>
      <c r="B751" s="21" t="s">
        <v>2598</v>
      </c>
    </row>
    <row r="752">
      <c r="A752" s="21" t="s">
        <v>2863</v>
      </c>
      <c r="B752" s="21" t="s">
        <v>2221</v>
      </c>
    </row>
    <row r="753">
      <c r="A753" s="21" t="s">
        <v>2864</v>
      </c>
      <c r="B753" s="21" t="s">
        <v>2865</v>
      </c>
    </row>
    <row r="754">
      <c r="A754" s="21" t="s">
        <v>2866</v>
      </c>
      <c r="B754" s="21" t="s">
        <v>2867</v>
      </c>
    </row>
    <row r="755">
      <c r="A755" s="21" t="s">
        <v>2868</v>
      </c>
      <c r="B755" s="21" t="s">
        <v>2869</v>
      </c>
    </row>
    <row r="756">
      <c r="A756" s="21" t="s">
        <v>2870</v>
      </c>
      <c r="B756" s="21" t="s">
        <v>2590</v>
      </c>
    </row>
    <row r="757">
      <c r="A757" s="21" t="s">
        <v>2871</v>
      </c>
      <c r="B757" s="21" t="s">
        <v>2043</v>
      </c>
    </row>
    <row r="758">
      <c r="A758" s="21" t="s">
        <v>2872</v>
      </c>
      <c r="B758" s="21" t="s">
        <v>2873</v>
      </c>
    </row>
    <row r="759">
      <c r="A759" s="21" t="s">
        <v>2874</v>
      </c>
      <c r="B759" s="21" t="s">
        <v>2875</v>
      </c>
    </row>
    <row r="760">
      <c r="A760" s="21" t="s">
        <v>2876</v>
      </c>
      <c r="B760" s="21" t="s">
        <v>2502</v>
      </c>
    </row>
    <row r="761">
      <c r="A761" s="21" t="s">
        <v>2877</v>
      </c>
      <c r="B761" s="21" t="s">
        <v>2878</v>
      </c>
    </row>
    <row r="762">
      <c r="A762" s="21" t="s">
        <v>2879</v>
      </c>
      <c r="B762" s="21" t="s">
        <v>2880</v>
      </c>
    </row>
    <row r="763">
      <c r="A763" s="21" t="s">
        <v>2881</v>
      </c>
      <c r="B763" s="21" t="s">
        <v>2882</v>
      </c>
    </row>
    <row r="764">
      <c r="A764" s="21" t="s">
        <v>2883</v>
      </c>
      <c r="B764" s="21" t="s">
        <v>2273</v>
      </c>
    </row>
    <row r="765">
      <c r="A765" s="21" t="s">
        <v>2884</v>
      </c>
      <c r="B765" s="21" t="s">
        <v>2557</v>
      </c>
    </row>
    <row r="766">
      <c r="A766" s="21" t="s">
        <v>2885</v>
      </c>
      <c r="B766" s="21" t="s">
        <v>2275</v>
      </c>
    </row>
    <row r="767">
      <c r="A767" s="21" t="s">
        <v>2886</v>
      </c>
      <c r="B767" s="21" t="s">
        <v>2887</v>
      </c>
    </row>
    <row r="768">
      <c r="A768" s="21" t="s">
        <v>2888</v>
      </c>
      <c r="B768" s="21" t="s">
        <v>2355</v>
      </c>
    </row>
    <row r="769">
      <c r="A769" s="21" t="s">
        <v>2889</v>
      </c>
      <c r="B769" s="21" t="s">
        <v>2303</v>
      </c>
    </row>
    <row r="770">
      <c r="A770" s="21" t="s">
        <v>2890</v>
      </c>
      <c r="B770" s="21" t="s">
        <v>2710</v>
      </c>
    </row>
    <row r="771">
      <c r="A771" s="21" t="s">
        <v>2891</v>
      </c>
      <c r="B771" s="21" t="s">
        <v>2716</v>
      </c>
    </row>
    <row r="772">
      <c r="A772" s="21" t="s">
        <v>2892</v>
      </c>
      <c r="B772" s="21" t="s">
        <v>2893</v>
      </c>
    </row>
    <row r="773">
      <c r="A773" s="21" t="s">
        <v>2894</v>
      </c>
      <c r="B773" s="21" t="s">
        <v>2895</v>
      </c>
    </row>
    <row r="774">
      <c r="A774" s="21" t="s">
        <v>2896</v>
      </c>
      <c r="B774" s="21" t="s">
        <v>2243</v>
      </c>
    </row>
    <row r="775">
      <c r="A775" s="21" t="s">
        <v>2897</v>
      </c>
      <c r="B775" s="21" t="s">
        <v>2898</v>
      </c>
    </row>
    <row r="776">
      <c r="A776" s="21" t="s">
        <v>2899</v>
      </c>
      <c r="B776" s="21" t="s">
        <v>2598</v>
      </c>
    </row>
    <row r="777">
      <c r="A777" s="21" t="s">
        <v>2900</v>
      </c>
      <c r="B777" s="21" t="s">
        <v>2901</v>
      </c>
    </row>
    <row r="778">
      <c r="A778" s="21" t="s">
        <v>2902</v>
      </c>
      <c r="B778" s="21" t="s">
        <v>2903</v>
      </c>
    </row>
    <row r="779">
      <c r="A779" s="21" t="s">
        <v>2904</v>
      </c>
      <c r="B779" s="21" t="s">
        <v>2905</v>
      </c>
    </row>
    <row r="780">
      <c r="A780" s="21" t="s">
        <v>2906</v>
      </c>
      <c r="B780" s="21" t="s">
        <v>2907</v>
      </c>
    </row>
    <row r="781">
      <c r="A781" s="21" t="s">
        <v>2908</v>
      </c>
      <c r="B781" s="21" t="s">
        <v>2909</v>
      </c>
    </row>
    <row r="782">
      <c r="A782" s="21" t="s">
        <v>2910</v>
      </c>
      <c r="B782" s="21" t="s">
        <v>2526</v>
      </c>
    </row>
    <row r="783">
      <c r="A783" s="21" t="s">
        <v>2911</v>
      </c>
      <c r="B783" s="21" t="s">
        <v>2912</v>
      </c>
    </row>
    <row r="784">
      <c r="A784" s="21" t="s">
        <v>2913</v>
      </c>
      <c r="B784" s="21" t="s">
        <v>2914</v>
      </c>
    </row>
    <row r="785">
      <c r="A785" s="21" t="s">
        <v>2915</v>
      </c>
      <c r="B785" s="21" t="s">
        <v>2916</v>
      </c>
    </row>
    <row r="786">
      <c r="A786" s="21" t="s">
        <v>2917</v>
      </c>
      <c r="B786" s="21" t="s">
        <v>2532</v>
      </c>
    </row>
    <row r="787">
      <c r="A787" s="21" t="s">
        <v>2918</v>
      </c>
      <c r="B787" s="21" t="s">
        <v>2919</v>
      </c>
    </row>
    <row r="788">
      <c r="A788" s="21" t="s">
        <v>2920</v>
      </c>
      <c r="B788" s="21" t="s">
        <v>2295</v>
      </c>
    </row>
    <row r="789">
      <c r="A789" s="21" t="s">
        <v>2921</v>
      </c>
      <c r="B789" s="21" t="s">
        <v>2922</v>
      </c>
    </row>
    <row r="790">
      <c r="A790" s="21" t="s">
        <v>2923</v>
      </c>
      <c r="B790" s="21" t="s">
        <v>2541</v>
      </c>
    </row>
    <row r="791">
      <c r="A791" s="21" t="s">
        <v>2924</v>
      </c>
      <c r="B791" s="21" t="s">
        <v>2925</v>
      </c>
    </row>
    <row r="792">
      <c r="A792" s="21" t="s">
        <v>2926</v>
      </c>
      <c r="B792" s="21" t="s">
        <v>2100</v>
      </c>
    </row>
    <row r="793">
      <c r="A793" s="21" t="s">
        <v>2927</v>
      </c>
      <c r="B793" s="21" t="s">
        <v>2928</v>
      </c>
    </row>
    <row r="794">
      <c r="A794" s="21" t="s">
        <v>2929</v>
      </c>
      <c r="B794" s="21" t="s">
        <v>2930</v>
      </c>
    </row>
    <row r="795">
      <c r="A795" s="21" t="s">
        <v>2931</v>
      </c>
      <c r="B795" s="21" t="s">
        <v>2932</v>
      </c>
    </row>
    <row r="796">
      <c r="A796" s="21" t="s">
        <v>2933</v>
      </c>
      <c r="B796" s="21" t="s">
        <v>2934</v>
      </c>
    </row>
    <row r="797">
      <c r="A797" s="21" t="s">
        <v>2935</v>
      </c>
      <c r="B797" s="21" t="s">
        <v>2936</v>
      </c>
    </row>
    <row r="798">
      <c r="A798" s="21" t="s">
        <v>2937</v>
      </c>
      <c r="B798" s="21" t="s">
        <v>2938</v>
      </c>
    </row>
    <row r="799">
      <c r="A799" s="21" t="s">
        <v>2939</v>
      </c>
      <c r="B799" s="21" t="s">
        <v>2624</v>
      </c>
    </row>
    <row r="800">
      <c r="A800" s="21" t="s">
        <v>2940</v>
      </c>
      <c r="B800" s="21" t="s">
        <v>2941</v>
      </c>
    </row>
    <row r="801">
      <c r="A801" s="21" t="s">
        <v>2942</v>
      </c>
      <c r="B801" s="21" t="s">
        <v>2943</v>
      </c>
    </row>
    <row r="802">
      <c r="A802" s="21" t="s">
        <v>2944</v>
      </c>
      <c r="B802" s="21" t="s">
        <v>2945</v>
      </c>
    </row>
    <row r="803">
      <c r="A803" s="21" t="s">
        <v>2946</v>
      </c>
      <c r="B803" s="21" t="s">
        <v>2947</v>
      </c>
    </row>
    <row r="804">
      <c r="A804" s="21" t="s">
        <v>2948</v>
      </c>
      <c r="B804" s="21" t="s">
        <v>2949</v>
      </c>
    </row>
    <row r="805">
      <c r="A805" s="21" t="s">
        <v>2950</v>
      </c>
      <c r="B805" s="21" t="s">
        <v>2658</v>
      </c>
    </row>
    <row r="806">
      <c r="A806" s="21" t="s">
        <v>2951</v>
      </c>
      <c r="B806" s="21" t="s">
        <v>2952</v>
      </c>
    </row>
    <row r="807">
      <c r="A807" s="21" t="s">
        <v>2953</v>
      </c>
      <c r="B807" s="21" t="s">
        <v>2954</v>
      </c>
    </row>
    <row r="808">
      <c r="A808" s="21" t="s">
        <v>2955</v>
      </c>
      <c r="B808" s="21" t="s">
        <v>2956</v>
      </c>
    </row>
    <row r="809">
      <c r="A809" s="21" t="s">
        <v>2957</v>
      </c>
      <c r="B809" s="21" t="s">
        <v>2958</v>
      </c>
    </row>
    <row r="810">
      <c r="A810" s="21" t="s">
        <v>2959</v>
      </c>
      <c r="B810" s="21" t="s">
        <v>2960</v>
      </c>
    </row>
    <row r="811">
      <c r="A811" s="21" t="s">
        <v>2961</v>
      </c>
      <c r="B811" s="21" t="s">
        <v>2788</v>
      </c>
    </row>
    <row r="812">
      <c r="A812" s="21" t="s">
        <v>2962</v>
      </c>
      <c r="B812" s="21" t="s">
        <v>2079</v>
      </c>
    </row>
    <row r="813">
      <c r="A813" s="21" t="s">
        <v>2963</v>
      </c>
      <c r="B813" s="21" t="s">
        <v>2964</v>
      </c>
    </row>
    <row r="814">
      <c r="A814" s="21" t="s">
        <v>2965</v>
      </c>
      <c r="B814" s="21" t="s">
        <v>2438</v>
      </c>
    </row>
    <row r="815">
      <c r="A815" s="21" t="s">
        <v>2966</v>
      </c>
      <c r="B815" s="21" t="s">
        <v>2172</v>
      </c>
    </row>
    <row r="816">
      <c r="A816" s="21" t="s">
        <v>2967</v>
      </c>
      <c r="B816" s="21" t="s">
        <v>2968</v>
      </c>
    </row>
    <row r="817">
      <c r="A817" s="21" t="s">
        <v>2969</v>
      </c>
      <c r="B817" s="21" t="s">
        <v>2912</v>
      </c>
    </row>
    <row r="818">
      <c r="A818" s="21" t="s">
        <v>2970</v>
      </c>
      <c r="B818" s="21" t="s">
        <v>2971</v>
      </c>
    </row>
    <row r="819">
      <c r="A819" s="21" t="s">
        <v>2972</v>
      </c>
      <c r="B819" s="21" t="s">
        <v>2973</v>
      </c>
    </row>
    <row r="820">
      <c r="A820" s="21" t="s">
        <v>2974</v>
      </c>
      <c r="B820" s="21" t="s">
        <v>2975</v>
      </c>
    </row>
    <row r="821">
      <c r="A821" s="21" t="s">
        <v>2976</v>
      </c>
      <c r="B821" s="21" t="s">
        <v>2977</v>
      </c>
    </row>
    <row r="822">
      <c r="A822" s="21" t="s">
        <v>2978</v>
      </c>
      <c r="B822" s="21" t="s">
        <v>2979</v>
      </c>
    </row>
    <row r="823">
      <c r="A823" s="21" t="s">
        <v>2980</v>
      </c>
      <c r="B823" s="21" t="s">
        <v>2981</v>
      </c>
    </row>
    <row r="824">
      <c r="A824" s="21" t="s">
        <v>2982</v>
      </c>
      <c r="B824" s="21" t="s">
        <v>2628</v>
      </c>
    </row>
    <row r="825">
      <c r="A825" s="21" t="s">
        <v>2983</v>
      </c>
      <c r="B825" s="21" t="s">
        <v>2417</v>
      </c>
    </row>
    <row r="826">
      <c r="A826" s="21" t="s">
        <v>2984</v>
      </c>
      <c r="B826" s="21" t="s">
        <v>2985</v>
      </c>
    </row>
    <row r="827">
      <c r="A827" s="21" t="s">
        <v>2986</v>
      </c>
      <c r="B827" s="21" t="s">
        <v>2987</v>
      </c>
    </row>
    <row r="828">
      <c r="A828" s="21" t="s">
        <v>2988</v>
      </c>
      <c r="B828" s="21" t="s">
        <v>2728</v>
      </c>
    </row>
    <row r="829">
      <c r="A829" s="21" t="s">
        <v>2989</v>
      </c>
      <c r="B829" s="21" t="s">
        <v>2990</v>
      </c>
    </row>
    <row r="830">
      <c r="A830" s="21" t="s">
        <v>2991</v>
      </c>
      <c r="B830" s="21" t="s">
        <v>2706</v>
      </c>
    </row>
    <row r="831">
      <c r="A831" s="21" t="s">
        <v>2992</v>
      </c>
      <c r="B831" s="21" t="s">
        <v>2907</v>
      </c>
    </row>
    <row r="832">
      <c r="A832" s="21" t="s">
        <v>2993</v>
      </c>
      <c r="B832" s="21" t="s">
        <v>2153</v>
      </c>
    </row>
    <row r="833">
      <c r="A833" s="21" t="s">
        <v>2994</v>
      </c>
      <c r="B833" s="21" t="s">
        <v>2995</v>
      </c>
    </row>
    <row r="834">
      <c r="A834" s="21" t="s">
        <v>2996</v>
      </c>
      <c r="B834" s="21" t="s">
        <v>2502</v>
      </c>
    </row>
    <row r="835">
      <c r="A835" s="21" t="s">
        <v>2997</v>
      </c>
      <c r="B835" s="21" t="s">
        <v>2079</v>
      </c>
    </row>
    <row r="836">
      <c r="A836" s="21" t="s">
        <v>2998</v>
      </c>
      <c r="B836" s="21" t="s">
        <v>2999</v>
      </c>
    </row>
    <row r="837">
      <c r="A837" s="21" t="s">
        <v>3000</v>
      </c>
      <c r="B837" s="21" t="s">
        <v>2777</v>
      </c>
    </row>
    <row r="838">
      <c r="A838" s="21" t="s">
        <v>3001</v>
      </c>
      <c r="B838" s="21" t="s">
        <v>2499</v>
      </c>
    </row>
    <row r="839">
      <c r="A839" s="21" t="s">
        <v>3002</v>
      </c>
      <c r="B839" s="21" t="s">
        <v>3003</v>
      </c>
    </row>
    <row r="840">
      <c r="A840" s="21" t="s">
        <v>3004</v>
      </c>
      <c r="B840" s="21" t="s">
        <v>3005</v>
      </c>
    </row>
    <row r="841">
      <c r="A841" s="21" t="s">
        <v>3006</v>
      </c>
      <c r="B841" s="21" t="s">
        <v>3007</v>
      </c>
    </row>
    <row r="842">
      <c r="A842" s="21" t="s">
        <v>3008</v>
      </c>
      <c r="B842" s="21" t="s">
        <v>2694</v>
      </c>
    </row>
    <row r="843">
      <c r="A843" s="21" t="s">
        <v>3009</v>
      </c>
      <c r="B843" s="21" t="s">
        <v>2331</v>
      </c>
    </row>
    <row r="844">
      <c r="A844" s="21" t="s">
        <v>3010</v>
      </c>
      <c r="B844" s="21" t="s">
        <v>2628</v>
      </c>
    </row>
    <row r="845">
      <c r="A845" s="21" t="s">
        <v>3011</v>
      </c>
      <c r="B845" s="21" t="s">
        <v>2928</v>
      </c>
    </row>
    <row r="846">
      <c r="A846" s="21" t="s">
        <v>3012</v>
      </c>
      <c r="B846" s="21" t="s">
        <v>3013</v>
      </c>
    </row>
    <row r="847">
      <c r="A847" s="21" t="s">
        <v>3014</v>
      </c>
      <c r="B847" s="21" t="s">
        <v>3015</v>
      </c>
    </row>
    <row r="848">
      <c r="A848" s="21" t="s">
        <v>3016</v>
      </c>
      <c r="B848" s="21" t="s">
        <v>3017</v>
      </c>
    </row>
    <row r="849">
      <c r="A849" s="21" t="s">
        <v>3018</v>
      </c>
      <c r="B849" s="21" t="s">
        <v>2612</v>
      </c>
    </row>
    <row r="850">
      <c r="A850" s="21" t="s">
        <v>3019</v>
      </c>
      <c r="B850" s="21" t="s">
        <v>2655</v>
      </c>
    </row>
    <row r="851">
      <c r="A851" s="21" t="s">
        <v>3020</v>
      </c>
      <c r="B851" s="21" t="s">
        <v>3021</v>
      </c>
    </row>
    <row r="852">
      <c r="A852" s="21" t="s">
        <v>3022</v>
      </c>
      <c r="B852" s="21" t="s">
        <v>2878</v>
      </c>
    </row>
    <row r="853">
      <c r="A853" s="21" t="s">
        <v>3023</v>
      </c>
      <c r="B853" s="21" t="s">
        <v>3024</v>
      </c>
    </row>
    <row r="854">
      <c r="A854" s="21" t="s">
        <v>3025</v>
      </c>
      <c r="B854" s="21" t="s">
        <v>3026</v>
      </c>
    </row>
    <row r="855">
      <c r="A855" s="21" t="s">
        <v>3027</v>
      </c>
      <c r="B855" s="21" t="s">
        <v>2964</v>
      </c>
    </row>
    <row r="856">
      <c r="A856" s="21" t="s">
        <v>3028</v>
      </c>
      <c r="B856" s="21" t="s">
        <v>3029</v>
      </c>
    </row>
    <row r="857">
      <c r="A857" s="21" t="s">
        <v>3030</v>
      </c>
      <c r="B857" s="21" t="s">
        <v>3031</v>
      </c>
    </row>
    <row r="858">
      <c r="A858" s="21" t="s">
        <v>3032</v>
      </c>
      <c r="B858" s="21" t="s">
        <v>3033</v>
      </c>
    </row>
    <row r="859">
      <c r="A859" s="21" t="s">
        <v>3034</v>
      </c>
      <c r="B859" s="21" t="s">
        <v>3035</v>
      </c>
    </row>
    <row r="860">
      <c r="A860" s="21" t="s">
        <v>3036</v>
      </c>
      <c r="B860" s="21" t="s">
        <v>2753</v>
      </c>
    </row>
    <row r="861">
      <c r="A861" s="21" t="s">
        <v>3037</v>
      </c>
      <c r="B861" s="21" t="s">
        <v>2003</v>
      </c>
    </row>
    <row r="862">
      <c r="A862" s="21" t="s">
        <v>3038</v>
      </c>
      <c r="B862" s="21" t="s">
        <v>2243</v>
      </c>
    </row>
    <row r="863">
      <c r="A863" s="21" t="s">
        <v>3039</v>
      </c>
      <c r="B863" s="21" t="s">
        <v>3040</v>
      </c>
    </row>
    <row r="864">
      <c r="A864" s="21" t="s">
        <v>3041</v>
      </c>
      <c r="B864" s="21" t="s">
        <v>3042</v>
      </c>
    </row>
    <row r="865">
      <c r="A865" s="21" t="s">
        <v>3043</v>
      </c>
      <c r="B865" s="21" t="s">
        <v>3044</v>
      </c>
    </row>
    <row r="866">
      <c r="A866" s="21" t="s">
        <v>3045</v>
      </c>
      <c r="B866" s="21" t="s">
        <v>3046</v>
      </c>
    </row>
    <row r="867">
      <c r="A867" s="21" t="s">
        <v>3047</v>
      </c>
      <c r="B867" s="21" t="s">
        <v>2565</v>
      </c>
    </row>
    <row r="868">
      <c r="A868" s="21" t="s">
        <v>3048</v>
      </c>
      <c r="B868" s="21" t="s">
        <v>3049</v>
      </c>
    </row>
    <row r="869">
      <c r="A869" s="21" t="s">
        <v>3050</v>
      </c>
      <c r="B869" s="21" t="s">
        <v>3051</v>
      </c>
    </row>
    <row r="870">
      <c r="A870" s="21" t="s">
        <v>3052</v>
      </c>
      <c r="B870" s="21" t="s">
        <v>2281</v>
      </c>
    </row>
    <row r="871">
      <c r="A871" s="21" t="s">
        <v>3053</v>
      </c>
      <c r="B871" s="21" t="s">
        <v>2710</v>
      </c>
    </row>
    <row r="872">
      <c r="A872" s="21" t="s">
        <v>3054</v>
      </c>
      <c r="B872" s="21" t="s">
        <v>1924</v>
      </c>
    </row>
    <row r="873">
      <c r="A873" s="21" t="s">
        <v>3055</v>
      </c>
      <c r="B873" s="21" t="s">
        <v>3056</v>
      </c>
    </row>
    <row r="874">
      <c r="A874" s="21" t="s">
        <v>3057</v>
      </c>
      <c r="B874" s="21" t="s">
        <v>2793</v>
      </c>
    </row>
    <row r="875">
      <c r="A875" s="21" t="s">
        <v>3058</v>
      </c>
      <c r="B875" s="21" t="s">
        <v>2394</v>
      </c>
    </row>
    <row r="876">
      <c r="A876" s="21" t="s">
        <v>3059</v>
      </c>
      <c r="B876" s="21" t="s">
        <v>3060</v>
      </c>
    </row>
    <row r="877">
      <c r="A877" s="21" t="s">
        <v>3061</v>
      </c>
      <c r="B877" s="21" t="s">
        <v>3062</v>
      </c>
    </row>
    <row r="878">
      <c r="A878" s="21" t="s">
        <v>3063</v>
      </c>
      <c r="B878" s="21" t="s">
        <v>2271</v>
      </c>
    </row>
    <row r="879">
      <c r="A879" s="21" t="s">
        <v>3064</v>
      </c>
      <c r="B879" s="21" t="s">
        <v>3065</v>
      </c>
    </row>
    <row r="880">
      <c r="A880" s="21" t="s">
        <v>3066</v>
      </c>
      <c r="B880" s="21" t="s">
        <v>2865</v>
      </c>
    </row>
    <row r="881">
      <c r="A881" s="21" t="s">
        <v>3067</v>
      </c>
      <c r="B881" s="21" t="s">
        <v>3068</v>
      </c>
    </row>
    <row r="882">
      <c r="A882" s="21" t="s">
        <v>3069</v>
      </c>
      <c r="B882" s="21" t="s">
        <v>3070</v>
      </c>
    </row>
    <row r="883">
      <c r="A883" s="21" t="s">
        <v>3071</v>
      </c>
      <c r="B883" s="21" t="s">
        <v>2615</v>
      </c>
    </row>
    <row r="884">
      <c r="A884" s="21" t="s">
        <v>3072</v>
      </c>
      <c r="B884" s="21" t="s">
        <v>3073</v>
      </c>
    </row>
    <row r="885">
      <c r="A885" s="21" t="s">
        <v>3074</v>
      </c>
      <c r="B885" s="21" t="s">
        <v>2767</v>
      </c>
    </row>
    <row r="886">
      <c r="A886" s="21" t="s">
        <v>3075</v>
      </c>
      <c r="B886" s="21" t="s">
        <v>2757</v>
      </c>
    </row>
    <row r="887">
      <c r="A887" s="21" t="s">
        <v>3076</v>
      </c>
      <c r="B887" s="21" t="s">
        <v>3077</v>
      </c>
    </row>
    <row r="888">
      <c r="A888" s="21" t="s">
        <v>3078</v>
      </c>
      <c r="B888" s="21" t="s">
        <v>3079</v>
      </c>
    </row>
    <row r="889">
      <c r="A889" s="21" t="s">
        <v>3080</v>
      </c>
      <c r="B889" s="21" t="s">
        <v>2746</v>
      </c>
    </row>
    <row r="890">
      <c r="A890" s="21" t="s">
        <v>3081</v>
      </c>
      <c r="B890" s="21" t="s">
        <v>2234</v>
      </c>
    </row>
    <row r="891">
      <c r="A891" s="21" t="s">
        <v>3082</v>
      </c>
      <c r="B891" s="21" t="s">
        <v>3083</v>
      </c>
    </row>
    <row r="892">
      <c r="A892" s="21" t="s">
        <v>3084</v>
      </c>
      <c r="B892" s="21" t="s">
        <v>2869</v>
      </c>
    </row>
    <row r="893">
      <c r="A893" s="21" t="s">
        <v>3085</v>
      </c>
      <c r="B893" s="21" t="s">
        <v>2739</v>
      </c>
    </row>
    <row r="894">
      <c r="A894" s="21" t="s">
        <v>3086</v>
      </c>
      <c r="B894" s="21" t="s">
        <v>3087</v>
      </c>
    </row>
    <row r="895">
      <c r="A895" s="21" t="s">
        <v>3088</v>
      </c>
      <c r="B895" s="21" t="s">
        <v>2788</v>
      </c>
    </row>
    <row r="896">
      <c r="A896" s="21" t="s">
        <v>3089</v>
      </c>
      <c r="B896" s="21" t="s">
        <v>3090</v>
      </c>
    </row>
    <row r="897">
      <c r="A897" s="21" t="s">
        <v>3091</v>
      </c>
      <c r="B897" s="21" t="s">
        <v>2348</v>
      </c>
    </row>
    <row r="898">
      <c r="A898" s="21" t="s">
        <v>3092</v>
      </c>
      <c r="B898" s="21" t="s">
        <v>3093</v>
      </c>
    </row>
    <row r="899">
      <c r="A899" s="21" t="s">
        <v>3094</v>
      </c>
      <c r="B899" s="21" t="s">
        <v>2520</v>
      </c>
    </row>
    <row r="900">
      <c r="A900" s="21" t="s">
        <v>3095</v>
      </c>
      <c r="B900" s="21" t="s">
        <v>3096</v>
      </c>
    </row>
    <row r="901">
      <c r="A901" s="21" t="s">
        <v>3097</v>
      </c>
      <c r="B901" s="21" t="s">
        <v>2811</v>
      </c>
    </row>
    <row r="902">
      <c r="A902" s="21" t="s">
        <v>3098</v>
      </c>
      <c r="B902" s="21" t="s">
        <v>3099</v>
      </c>
    </row>
    <row r="903">
      <c r="A903" s="21" t="s">
        <v>3100</v>
      </c>
      <c r="B903" s="21" t="s">
        <v>3101</v>
      </c>
    </row>
    <row r="904">
      <c r="A904" s="21" t="s">
        <v>3102</v>
      </c>
      <c r="B904" s="21" t="s">
        <v>2383</v>
      </c>
    </row>
    <row r="905">
      <c r="A905" s="21" t="s">
        <v>3103</v>
      </c>
      <c r="B905" s="21" t="s">
        <v>2901</v>
      </c>
    </row>
    <row r="906">
      <c r="A906" s="21" t="s">
        <v>3104</v>
      </c>
      <c r="B906" s="21" t="s">
        <v>2336</v>
      </c>
    </row>
    <row r="907">
      <c r="A907" s="21" t="s">
        <v>3105</v>
      </c>
      <c r="B907" s="21" t="s">
        <v>2579</v>
      </c>
    </row>
    <row r="908">
      <c r="A908" s="21" t="s">
        <v>3106</v>
      </c>
      <c r="B908" s="21" t="s">
        <v>3107</v>
      </c>
    </row>
    <row r="909">
      <c r="A909" s="21" t="s">
        <v>3108</v>
      </c>
      <c r="B909" s="21" t="s">
        <v>2699</v>
      </c>
    </row>
    <row r="910">
      <c r="A910" s="21" t="s">
        <v>3109</v>
      </c>
      <c r="B910" s="21" t="s">
        <v>2670</v>
      </c>
    </row>
    <row r="911">
      <c r="A911" s="21" t="s">
        <v>3110</v>
      </c>
      <c r="B911" s="21" t="s">
        <v>3111</v>
      </c>
    </row>
    <row r="912">
      <c r="A912" s="21" t="s">
        <v>3112</v>
      </c>
      <c r="B912" s="21" t="s">
        <v>3113</v>
      </c>
    </row>
    <row r="913">
      <c r="A913" s="21" t="s">
        <v>3114</v>
      </c>
      <c r="B913" s="21" t="s">
        <v>2819</v>
      </c>
    </row>
    <row r="914">
      <c r="A914" s="21" t="s">
        <v>3115</v>
      </c>
      <c r="B914" s="21" t="s">
        <v>3116</v>
      </c>
    </row>
    <row r="915">
      <c r="A915" s="21" t="s">
        <v>3117</v>
      </c>
      <c r="B915" s="21" t="s">
        <v>3118</v>
      </c>
    </row>
    <row r="916">
      <c r="A916" s="21" t="s">
        <v>3119</v>
      </c>
      <c r="B916" s="21" t="s">
        <v>3120</v>
      </c>
    </row>
    <row r="917">
      <c r="A917" s="21" t="s">
        <v>3121</v>
      </c>
      <c r="B917" s="21" t="s">
        <v>2624</v>
      </c>
    </row>
    <row r="918">
      <c r="A918" s="21" t="s">
        <v>3122</v>
      </c>
      <c r="B918" s="21" t="s">
        <v>3123</v>
      </c>
    </row>
    <row r="919">
      <c r="A919" s="21" t="s">
        <v>3124</v>
      </c>
      <c r="B919" s="21" t="s">
        <v>3125</v>
      </c>
    </row>
    <row r="920">
      <c r="A920" s="21" t="s">
        <v>3126</v>
      </c>
      <c r="B920" s="21" t="s">
        <v>3127</v>
      </c>
    </row>
    <row r="921">
      <c r="A921" s="21" t="s">
        <v>3128</v>
      </c>
      <c r="B921" s="21" t="s">
        <v>3129</v>
      </c>
    </row>
    <row r="922">
      <c r="A922" s="21" t="s">
        <v>3130</v>
      </c>
      <c r="B922" s="11" t="s">
        <v>2928</v>
      </c>
    </row>
    <row r="923">
      <c r="A923" s="21" t="s">
        <v>3131</v>
      </c>
      <c r="B923" s="21" t="s">
        <v>3132</v>
      </c>
    </row>
    <row r="924">
      <c r="A924" s="21" t="s">
        <v>3133</v>
      </c>
      <c r="B924" s="21" t="s">
        <v>2466</v>
      </c>
    </row>
    <row r="925">
      <c r="A925" s="21" t="s">
        <v>3134</v>
      </c>
      <c r="B925" s="21" t="s">
        <v>3135</v>
      </c>
    </row>
    <row r="926">
      <c r="A926" s="21" t="s">
        <v>3136</v>
      </c>
      <c r="B926" s="21" t="s">
        <v>2003</v>
      </c>
    </row>
    <row r="927">
      <c r="A927" s="21" t="s">
        <v>3137</v>
      </c>
      <c r="B927" s="21" t="s">
        <v>2598</v>
      </c>
    </row>
    <row r="928">
      <c r="A928" s="21" t="s">
        <v>3138</v>
      </c>
      <c r="B928" s="21" t="s">
        <v>2710</v>
      </c>
    </row>
    <row r="929">
      <c r="A929" s="21" t="s">
        <v>3139</v>
      </c>
      <c r="B929" s="21" t="s">
        <v>2073</v>
      </c>
    </row>
    <row r="930">
      <c r="A930" s="21" t="s">
        <v>3140</v>
      </c>
      <c r="B930" s="21" t="s">
        <v>2898</v>
      </c>
    </row>
    <row r="931">
      <c r="A931" s="21" t="s">
        <v>3141</v>
      </c>
      <c r="B931" s="21" t="s">
        <v>3142</v>
      </c>
    </row>
    <row r="932">
      <c r="A932" s="21" t="s">
        <v>3143</v>
      </c>
      <c r="B932" s="21" t="s">
        <v>3144</v>
      </c>
    </row>
    <row r="933">
      <c r="A933" s="21" t="s">
        <v>3145</v>
      </c>
      <c r="B933" s="21" t="s">
        <v>3146</v>
      </c>
    </row>
    <row r="934">
      <c r="A934" s="21" t="s">
        <v>3147</v>
      </c>
      <c r="B934" s="21" t="s">
        <v>2153</v>
      </c>
    </row>
    <row r="935">
      <c r="A935" s="21" t="s">
        <v>3148</v>
      </c>
      <c r="B935" s="21" t="s">
        <v>3149</v>
      </c>
    </row>
    <row r="936">
      <c r="A936" s="21" t="s">
        <v>3150</v>
      </c>
      <c r="B936" s="21" t="s">
        <v>2469</v>
      </c>
    </row>
    <row r="937">
      <c r="A937" s="21" t="s">
        <v>3151</v>
      </c>
      <c r="B937" s="21" t="s">
        <v>3152</v>
      </c>
    </row>
    <row r="938">
      <c r="A938" s="21" t="s">
        <v>3153</v>
      </c>
      <c r="B938" s="21" t="s">
        <v>3154</v>
      </c>
    </row>
    <row r="939">
      <c r="A939" s="21" t="s">
        <v>3155</v>
      </c>
      <c r="B939" s="21" t="s">
        <v>3156</v>
      </c>
    </row>
    <row r="940">
      <c r="A940" s="21" t="s">
        <v>3157</v>
      </c>
      <c r="B940" s="21" t="s">
        <v>3158</v>
      </c>
    </row>
    <row r="941">
      <c r="A941" s="21" t="s">
        <v>3159</v>
      </c>
      <c r="B941" s="21" t="s">
        <v>2557</v>
      </c>
    </row>
    <row r="942">
      <c r="A942" s="21" t="s">
        <v>3160</v>
      </c>
      <c r="B942" s="21" t="s">
        <v>3161</v>
      </c>
    </row>
    <row r="943">
      <c r="A943" s="21" t="s">
        <v>3162</v>
      </c>
      <c r="B943" s="21" t="s">
        <v>2490</v>
      </c>
    </row>
    <row r="944">
      <c r="A944" s="21" t="s">
        <v>3163</v>
      </c>
      <c r="B944" s="21" t="s">
        <v>3164</v>
      </c>
    </row>
    <row r="945">
      <c r="A945" s="21" t="s">
        <v>3165</v>
      </c>
      <c r="B945" s="21" t="s">
        <v>3166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2026-01-16T02:55:53Z</dcterms:created>
  <dc:creator>openpyxl</dc:creator>
</cp:coreProperties>
</file>